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3 курс 2 семестр\РИС Тимонович\Готовые лабораторные\laba1\"/>
    </mc:Choice>
  </mc:AlternateContent>
  <xr:revisionPtr revIDLastSave="0" documentId="13_ncr:1_{86FE388C-1739-4E43-9D77-EAAF3D54ED0C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N14" i="1"/>
  <c r="N13" i="1"/>
  <c r="N12" i="1"/>
  <c r="N11" i="1"/>
  <c r="N10" i="1"/>
  <c r="A44" i="1"/>
  <c r="A43" i="1"/>
  <c r="A42" i="1"/>
  <c r="A41" i="1"/>
  <c r="A40" i="1"/>
  <c r="A39" i="1"/>
  <c r="A38" i="1"/>
  <c r="A16" i="1"/>
  <c r="A15" i="1"/>
  <c r="A14" i="1"/>
  <c r="A13" i="1"/>
  <c r="A12" i="1"/>
  <c r="A11" i="1"/>
  <c r="A10" i="1"/>
</calcChain>
</file>

<file path=xl/sharedStrings.xml><?xml version="1.0" encoding="utf-8"?>
<sst xmlns="http://schemas.openxmlformats.org/spreadsheetml/2006/main" count="33" uniqueCount="9">
  <si>
    <t>Tc</t>
  </si>
  <si>
    <t>Max</t>
  </si>
  <si>
    <t>correction</t>
  </si>
  <si>
    <t>Min</t>
  </si>
  <si>
    <t>Среднее</t>
  </si>
  <si>
    <t>Avg</t>
  </si>
  <si>
    <t>Cc-Ostime</t>
  </si>
  <si>
    <t>Correction</t>
  </si>
  <si>
    <t>Cc - Ostime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</si>
</sst>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  <charset val="204"/>
    </font>
    <font>
      <sz val="1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0" fillId="0" borderId="6" xfId="0" applyBorder="1"/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Тс</a:t>
            </a:r>
            <a:r>
              <a:rPr lang="en-US" baseline="0"/>
              <a:t>/</a:t>
            </a:r>
            <a:r>
              <a:rPr lang="ru-RU" baseline="0"/>
              <a:t>Среднее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Среднее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Лист1!$B$10:$B$16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Лист1!$A$10:$A$16</c:f>
              <c:numCache>
                <c:formatCode>General</c:formatCode>
                <c:ptCount val="7"/>
                <c:pt idx="0">
                  <c:v>549.53</c:v>
                </c:pt>
                <c:pt idx="1">
                  <c:v>91.15</c:v>
                </c:pt>
                <c:pt idx="2">
                  <c:v>2636.2</c:v>
                </c:pt>
                <c:pt idx="3">
                  <c:v>17.2</c:v>
                </c:pt>
                <c:pt idx="4">
                  <c:v>15.6</c:v>
                </c:pt>
                <c:pt idx="5">
                  <c:v>18.850000000000001</c:v>
                </c:pt>
                <c:pt idx="6">
                  <c:v>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4-4CAF-AEA1-3F04647B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488848"/>
        <c:axId val="666493648"/>
      </c:barChart>
      <c:catAx>
        <c:axId val="6664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493648"/>
        <c:crosses val="autoZero"/>
        <c:auto val="1"/>
        <c:lblAlgn val="ctr"/>
        <c:lblOffset val="100"/>
        <c:noMultiLvlLbl val="0"/>
      </c:catAx>
      <c:valAx>
        <c:axId val="666493648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4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Зависимость Тс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Лист1!$N$9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Лист1!$O$10:$O$16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Лист1!$N$10:$N$16</c:f>
              <c:numCache>
                <c:formatCode>General</c:formatCode>
                <c:ptCount val="7"/>
                <c:pt idx="0">
                  <c:v>277.10000000000002</c:v>
                </c:pt>
                <c:pt idx="1">
                  <c:v>-302.64999999999998</c:v>
                </c:pt>
                <c:pt idx="2">
                  <c:v>215.1</c:v>
                </c:pt>
                <c:pt idx="3">
                  <c:v>-644.95000000000005</c:v>
                </c:pt>
                <c:pt idx="4">
                  <c:v>489.05</c:v>
                </c:pt>
                <c:pt idx="5">
                  <c:v>-1072.0999999999999</c:v>
                </c:pt>
                <c:pt idx="6">
                  <c:v>100.55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C61-BB46-9482ED81B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91600"/>
        <c:axId val="141100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Лист1!$O$9</c15:sqref>
                        </c15:formulaRef>
                      </c:ext>
                    </c:extLst>
                    <c:strCache>
                      <c:ptCount val="1"/>
                      <c:pt idx="0">
                        <c:v>Tc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Лист1!$O$10:$O$16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Лист1!$O$10:$O$16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2A8-4C61-BB46-9482ED81BBCA}"/>
                  </c:ext>
                </c:extLst>
              </c15:ser>
            </c15:filteredBarSeries>
          </c:ext>
        </c:extLst>
      </c:barChart>
      <c:catAx>
        <c:axId val="1410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100720"/>
        <c:crosses val="autoZero"/>
        <c:auto val="1"/>
        <c:lblAlgn val="ctr"/>
        <c:lblOffset val="100"/>
        <c:noMultiLvlLbl val="0"/>
      </c:catAx>
      <c:valAx>
        <c:axId val="1411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Лист1!$A$37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Лист1!$B$38:$B$44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Лист1!$A$38:$A$44</c:f>
              <c:numCache>
                <c:formatCode>General</c:formatCode>
                <c:ptCount val="7"/>
                <c:pt idx="0">
                  <c:v>631.35</c:v>
                </c:pt>
                <c:pt idx="1">
                  <c:v>120.25</c:v>
                </c:pt>
                <c:pt idx="2">
                  <c:v>171.85</c:v>
                </c:pt>
                <c:pt idx="3">
                  <c:v>139.94999999999999</c:v>
                </c:pt>
                <c:pt idx="4">
                  <c:v>118.75</c:v>
                </c:pt>
                <c:pt idx="5">
                  <c:v>123.35</c:v>
                </c:pt>
                <c:pt idx="6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8-41B4-B2F8-2B7FBB3B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7037856"/>
        <c:axId val="1787034496"/>
      </c:barChart>
      <c:catAx>
        <c:axId val="17870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034496"/>
        <c:crosses val="autoZero"/>
        <c:auto val="1"/>
        <c:lblAlgn val="ctr"/>
        <c:lblOffset val="100"/>
        <c:noMultiLvlLbl val="0"/>
      </c:catAx>
      <c:valAx>
        <c:axId val="17870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0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Зависимость Тс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Лист2!$A$9</c:f>
              <c:strCache>
                <c:ptCount val="1"/>
                <c:pt idx="0">
                  <c:v>Correction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Лист2!$C$10:$C$16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Лист2!$A$10:$A$16</c:f>
              <c:numCache>
                <c:formatCode>General</c:formatCode>
                <c:ptCount val="7"/>
                <c:pt idx="0">
                  <c:v>4.57</c:v>
                </c:pt>
                <c:pt idx="1">
                  <c:v>5.42</c:v>
                </c:pt>
                <c:pt idx="2">
                  <c:v>4.7</c:v>
                </c:pt>
                <c:pt idx="3">
                  <c:v>4.42</c:v>
                </c:pt>
                <c:pt idx="4">
                  <c:v>8.84</c:v>
                </c:pt>
                <c:pt idx="5">
                  <c:v>4.42</c:v>
                </c:pt>
                <c:pt idx="6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C-4A86-AC0F-EA5D560DD0C1}"/>
            </c:ext>
          </c:extLst>
        </c:ser>
        <c:ser>
          <c:idx val="1"/>
          <c:order val="1"/>
          <c:tx>
            <c:strRef>
              <c:f>Лист2!$B$9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Лист2!$C$10:$C$16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Лист2!$B$10:$B$16</c:f>
              <c:numCache>
                <c:formatCode>General</c:formatCode>
                <c:ptCount val="7"/>
                <c:pt idx="0">
                  <c:v>1.42</c:v>
                </c:pt>
                <c:pt idx="1">
                  <c:v>2.57</c:v>
                </c:pt>
                <c:pt idx="2">
                  <c:v>5.0999999999999996</c:v>
                </c:pt>
                <c:pt idx="3">
                  <c:v>6.85</c:v>
                </c:pt>
                <c:pt idx="4">
                  <c:v>8.57</c:v>
                </c:pt>
                <c:pt idx="5">
                  <c:v>10.5</c:v>
                </c:pt>
                <c:pt idx="6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C-4A86-AC0F-EA5D560DD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3135"/>
        <c:axId val="575036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Лист2!$C$9</c15:sqref>
                        </c15:formulaRef>
                      </c:ext>
                    </c:extLst>
                    <c:strCache>
                      <c:ptCount val="1"/>
                      <c:pt idx="0">
                        <c:v>Tc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Лист2!$C$10:$C$16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Лист2!$C$10:$C$16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CDC-4A86-AC0F-EA5D560DD0C1}"/>
                  </c:ext>
                </c:extLst>
              </c15:ser>
            </c15:filteredBarSeries>
          </c:ext>
        </c:extLst>
      </c:barChart>
      <c:catAx>
        <c:axId val="575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03615"/>
        <c:crosses val="autoZero"/>
        <c:auto val="1"/>
        <c:lblAlgn val="ctr"/>
        <c:lblOffset val="100"/>
        <c:noMultiLvlLbl val="0"/>
      </c:catAx>
      <c:valAx>
        <c:axId val="575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0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177800</xdr:rowOff>
    </xdr:from>
    <xdr:to>
      <xdr:col>9</xdr:col>
      <xdr:colOff>390525</xdr:colOff>
      <xdr:row>22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2AFD91-CAB6-3C95-63A3-D33C263A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193109</xdr:colOff>
      <xdr:row>7</xdr:row>
      <xdr:rowOff>181105</xdr:rowOff>
    </xdr:from>
    <xdr:to>
      <xdr:col>22</xdr:col>
      <xdr:colOff>502781</xdr:colOff>
      <xdr:row>21</xdr:row>
      <xdr:rowOff>79853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C3EA359-0B7C-1573-A5FE-73D3F3FA5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423334</xdr:colOff>
      <xdr:row>37</xdr:row>
      <xdr:rowOff>152399</xdr:rowOff>
    </xdr:from>
    <xdr:to>
      <xdr:col>9</xdr:col>
      <xdr:colOff>486834</xdr:colOff>
      <xdr:row>52</xdr:row>
      <xdr:rowOff>38099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94042B7-CF05-AE4D-A2FA-527400D8D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557893</xdr:colOff>
      <xdr:row>7</xdr:row>
      <xdr:rowOff>156935</xdr:rowOff>
    </xdr:from>
    <xdr:to>
      <xdr:col>11</xdr:col>
      <xdr:colOff>167821</xdr:colOff>
      <xdr:row>22</xdr:row>
      <xdr:rowOff>124278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E4BA5C-7E6B-4E45-6991-721EA7CB9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J3" zoomScale="90" zoomScaleNormal="85" workbookViewId="0">
      <selection activeCell="T25" sqref="T25"/>
    </sheetView>
  </sheetViews>
  <sheetFormatPr defaultRowHeight="15" x14ac:dyDescent="0.25"/>
  <cols>
    <col min="1" max="1" width="20.7109375" customWidth="1"/>
    <col min="2" max="2" width="13.28515625" customWidth="1"/>
    <col min="3" max="7" width="9.85546875" bestFit="1" customWidth="1"/>
    <col min="14" max="14" width="20.42578125" customWidth="1"/>
    <col min="15" max="15" width="9.85546875" bestFit="1" customWidth="1"/>
    <col min="16" max="16" width="11.28515625" bestFit="1" customWidth="1"/>
    <col min="17" max="17" width="9.85546875" bestFit="1" customWidth="1"/>
    <col min="18" max="18" width="11.28515625" bestFit="1" customWidth="1"/>
    <col min="19" max="19" width="9.85546875" bestFit="1" customWidth="1"/>
    <col min="20" max="20" width="11.28515625" bestFit="1" customWidth="1"/>
    <col min="21" max="21" width="9.85546875" bestFit="1" customWidth="1"/>
  </cols>
  <sheetData>
    <row r="1" spans="1:21" ht="20.25" thickBot="1" x14ac:dyDescent="0.3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  <c r="N1" s="1" t="s">
        <v>0</v>
      </c>
      <c r="O1" s="2">
        <v>1000</v>
      </c>
      <c r="P1" s="2">
        <v>3000</v>
      </c>
      <c r="Q1" s="2">
        <v>6000</v>
      </c>
      <c r="R1" s="2">
        <v>8000</v>
      </c>
      <c r="S1" s="2">
        <v>10000</v>
      </c>
      <c r="T1" s="2">
        <v>12000</v>
      </c>
      <c r="U1" s="2">
        <v>14000</v>
      </c>
    </row>
    <row r="2" spans="1:21" ht="19.5" x14ac:dyDescent="0.25">
      <c r="A2" s="3" t="s">
        <v>1</v>
      </c>
      <c r="B2" s="7">
        <v>6083</v>
      </c>
      <c r="C2" s="7">
        <v>1482</v>
      </c>
      <c r="D2" s="7">
        <v>18817</v>
      </c>
      <c r="E2" s="7">
        <v>31</v>
      </c>
      <c r="F2" s="7">
        <v>32</v>
      </c>
      <c r="G2" s="7">
        <v>32</v>
      </c>
      <c r="H2" s="7">
        <v>93</v>
      </c>
      <c r="N2" s="3" t="s">
        <v>4</v>
      </c>
      <c r="O2" s="7">
        <v>109.3</v>
      </c>
      <c r="P2" s="7">
        <v>-737.1</v>
      </c>
      <c r="Q2" s="7">
        <v>446</v>
      </c>
      <c r="R2" s="7">
        <v>-273.39999999999998</v>
      </c>
      <c r="S2" s="7">
        <v>441.9</v>
      </c>
      <c r="T2" s="7">
        <v>-61.9</v>
      </c>
      <c r="U2" s="7">
        <v>70</v>
      </c>
    </row>
    <row r="3" spans="1:21" ht="20.25" thickBot="1" x14ac:dyDescent="0.3">
      <c r="A3" s="4" t="s">
        <v>2</v>
      </c>
      <c r="B3" s="8"/>
      <c r="C3" s="8"/>
      <c r="D3" s="8"/>
      <c r="E3" s="8"/>
      <c r="F3" s="8"/>
      <c r="G3" s="8"/>
      <c r="H3" s="8"/>
      <c r="N3" s="4" t="s">
        <v>2</v>
      </c>
      <c r="O3" s="8"/>
      <c r="P3" s="8"/>
      <c r="Q3" s="8"/>
      <c r="R3" s="8"/>
      <c r="S3" s="8"/>
      <c r="T3" s="8"/>
      <c r="U3" s="8"/>
    </row>
    <row r="4" spans="1:21" ht="19.5" x14ac:dyDescent="0.25">
      <c r="A4" s="3" t="s">
        <v>3</v>
      </c>
      <c r="B4" s="7">
        <v>4</v>
      </c>
      <c r="C4" s="7">
        <v>14</v>
      </c>
      <c r="D4" s="7">
        <v>6</v>
      </c>
      <c r="E4" s="7">
        <v>6</v>
      </c>
      <c r="F4" s="7">
        <v>3</v>
      </c>
      <c r="G4" s="7">
        <v>12</v>
      </c>
      <c r="H4" s="7">
        <v>10</v>
      </c>
      <c r="N4" s="3" t="s">
        <v>4</v>
      </c>
      <c r="O4" s="7">
        <v>277.10000000000002</v>
      </c>
      <c r="P4" s="7">
        <v>-302.64999999999998</v>
      </c>
      <c r="Q4" s="7">
        <v>215.1</v>
      </c>
      <c r="R4" s="7">
        <v>-644.95000000000005</v>
      </c>
      <c r="S4" s="7">
        <v>489.05</v>
      </c>
      <c r="T4" s="7">
        <v>-1072.0999999999999</v>
      </c>
      <c r="U4" s="7">
        <v>100.55</v>
      </c>
    </row>
    <row r="5" spans="1:21" ht="39.75" thickBot="1" x14ac:dyDescent="0.3">
      <c r="A5" s="4" t="s">
        <v>2</v>
      </c>
      <c r="B5" s="8"/>
      <c r="C5" s="8"/>
      <c r="D5" s="8"/>
      <c r="E5" s="8"/>
      <c r="F5" s="8"/>
      <c r="G5" s="8"/>
      <c r="H5" s="8"/>
      <c r="N5" s="4" t="s">
        <v>8</v>
      </c>
      <c r="O5" s="8"/>
      <c r="P5" s="8"/>
      <c r="Q5" s="8"/>
      <c r="R5" s="8"/>
      <c r="S5" s="8"/>
      <c r="T5" s="8"/>
      <c r="U5" s="8"/>
    </row>
    <row r="6" spans="1:21" ht="19.5" x14ac:dyDescent="0.25">
      <c r="A6" s="3" t="s">
        <v>4</v>
      </c>
      <c r="B6" s="7">
        <v>549.53</v>
      </c>
      <c r="C6" s="7">
        <v>91.15</v>
      </c>
      <c r="D6" s="7">
        <v>2636.2</v>
      </c>
      <c r="E6" s="7">
        <v>17.2</v>
      </c>
      <c r="F6" s="7">
        <v>15.6</v>
      </c>
      <c r="G6" s="7">
        <v>18.850000000000001</v>
      </c>
      <c r="H6" s="7">
        <v>23.4</v>
      </c>
    </row>
    <row r="7" spans="1:21" ht="20.25" thickBot="1" x14ac:dyDescent="0.3">
      <c r="A7" s="4" t="s">
        <v>2</v>
      </c>
      <c r="B7" s="8"/>
      <c r="C7" s="8"/>
      <c r="D7" s="8"/>
      <c r="E7" s="8"/>
      <c r="F7" s="8"/>
      <c r="G7" s="8"/>
      <c r="H7" s="8"/>
    </row>
    <row r="9" spans="1:21" ht="19.5" x14ac:dyDescent="0.25">
      <c r="A9" s="5" t="s">
        <v>4</v>
      </c>
      <c r="B9" s="5" t="s">
        <v>0</v>
      </c>
      <c r="N9" s="5" t="s">
        <v>4</v>
      </c>
      <c r="O9" s="5" t="s">
        <v>0</v>
      </c>
    </row>
    <row r="10" spans="1:21" x14ac:dyDescent="0.25">
      <c r="A10" s="6">
        <f>B6</f>
        <v>549.53</v>
      </c>
      <c r="B10" s="6">
        <v>1000</v>
      </c>
      <c r="N10" s="6">
        <f>O4</f>
        <v>277.10000000000002</v>
      </c>
      <c r="O10" s="6">
        <v>1000</v>
      </c>
    </row>
    <row r="11" spans="1:21" x14ac:dyDescent="0.25">
      <c r="A11" s="6">
        <f>C6</f>
        <v>91.15</v>
      </c>
      <c r="B11" s="6">
        <v>3000</v>
      </c>
      <c r="N11" s="6">
        <f>P4</f>
        <v>-302.64999999999998</v>
      </c>
      <c r="O11" s="6">
        <v>3000</v>
      </c>
    </row>
    <row r="12" spans="1:21" x14ac:dyDescent="0.25">
      <c r="A12" s="6">
        <f>D6</f>
        <v>2636.2</v>
      </c>
      <c r="B12" s="6">
        <v>6000</v>
      </c>
      <c r="N12" s="6">
        <f>Q4</f>
        <v>215.1</v>
      </c>
      <c r="O12" s="6">
        <v>6000</v>
      </c>
    </row>
    <row r="13" spans="1:21" x14ac:dyDescent="0.25">
      <c r="A13" s="6">
        <f>E6</f>
        <v>17.2</v>
      </c>
      <c r="B13" s="6">
        <v>8000</v>
      </c>
      <c r="N13" s="6">
        <f>R4</f>
        <v>-644.95000000000005</v>
      </c>
      <c r="O13" s="6">
        <v>8000</v>
      </c>
    </row>
    <row r="14" spans="1:21" x14ac:dyDescent="0.25">
      <c r="A14" s="6">
        <f>F6</f>
        <v>15.6</v>
      </c>
      <c r="B14" s="6">
        <v>10000</v>
      </c>
      <c r="N14" s="6">
        <f>S4</f>
        <v>489.05</v>
      </c>
      <c r="O14" s="6">
        <v>10000</v>
      </c>
    </row>
    <row r="15" spans="1:21" x14ac:dyDescent="0.25">
      <c r="A15" s="6">
        <f>G6</f>
        <v>18.850000000000001</v>
      </c>
      <c r="B15" s="6">
        <v>12000</v>
      </c>
      <c r="N15" s="6">
        <f>T4</f>
        <v>-1072.0999999999999</v>
      </c>
      <c r="O15" s="6">
        <v>12000</v>
      </c>
    </row>
    <row r="16" spans="1:21" x14ac:dyDescent="0.25">
      <c r="A16" s="6">
        <f>H6</f>
        <v>23.4</v>
      </c>
      <c r="B16" s="6">
        <v>14000</v>
      </c>
      <c r="N16" s="6">
        <f>U4</f>
        <v>100.55</v>
      </c>
      <c r="O16" s="6">
        <v>14000</v>
      </c>
    </row>
    <row r="28" spans="1:8" ht="15.75" thickBot="1" x14ac:dyDescent="0.3"/>
    <row r="29" spans="1:8" ht="20.25" thickBot="1" x14ac:dyDescent="0.3">
      <c r="A29" s="1" t="s">
        <v>0</v>
      </c>
      <c r="B29" s="2">
        <v>1000</v>
      </c>
      <c r="C29" s="2">
        <v>3000</v>
      </c>
      <c r="D29" s="2">
        <v>6000</v>
      </c>
      <c r="E29" s="2">
        <v>8000</v>
      </c>
      <c r="F29" s="2">
        <v>10000</v>
      </c>
      <c r="G29" s="2">
        <v>12000</v>
      </c>
      <c r="H29" s="2">
        <v>14000</v>
      </c>
    </row>
    <row r="30" spans="1:8" ht="19.5" x14ac:dyDescent="0.25">
      <c r="A30" s="3" t="s">
        <v>1</v>
      </c>
      <c r="B30" s="7">
        <v>6747</v>
      </c>
      <c r="C30" s="7">
        <v>1027</v>
      </c>
      <c r="D30" s="7">
        <v>1548</v>
      </c>
      <c r="E30" s="7">
        <v>1049</v>
      </c>
      <c r="F30" s="7">
        <v>1034</v>
      </c>
      <c r="G30" s="7">
        <v>1048</v>
      </c>
      <c r="H30" s="7">
        <v>1049</v>
      </c>
    </row>
    <row r="31" spans="1:8" ht="20.25" thickBot="1" x14ac:dyDescent="0.3">
      <c r="A31" s="4" t="s">
        <v>2</v>
      </c>
      <c r="B31" s="8"/>
      <c r="C31" s="8"/>
      <c r="D31" s="8"/>
      <c r="E31" s="8"/>
      <c r="F31" s="8"/>
      <c r="G31" s="8"/>
      <c r="H31" s="8"/>
    </row>
    <row r="32" spans="1:8" ht="19.5" x14ac:dyDescent="0.25">
      <c r="A32" s="3" t="s">
        <v>3</v>
      </c>
      <c r="B32" s="7">
        <v>10</v>
      </c>
      <c r="C32" s="7">
        <v>14</v>
      </c>
      <c r="D32" s="7">
        <v>14</v>
      </c>
      <c r="E32" s="7">
        <v>15</v>
      </c>
      <c r="F32" s="7">
        <v>13</v>
      </c>
      <c r="G32" s="7">
        <v>11</v>
      </c>
      <c r="H32" s="7">
        <v>14</v>
      </c>
    </row>
    <row r="33" spans="1:8" ht="20.25" thickBot="1" x14ac:dyDescent="0.3">
      <c r="A33" s="4" t="s">
        <v>2</v>
      </c>
      <c r="B33" s="8"/>
      <c r="C33" s="8"/>
      <c r="D33" s="8"/>
      <c r="E33" s="8"/>
      <c r="F33" s="8"/>
      <c r="G33" s="8"/>
      <c r="H33" s="8"/>
    </row>
    <row r="34" spans="1:8" ht="19.5" x14ac:dyDescent="0.25">
      <c r="A34" s="3" t="s">
        <v>4</v>
      </c>
      <c r="B34" s="7">
        <v>631.35</v>
      </c>
      <c r="C34" s="7">
        <v>120.25</v>
      </c>
      <c r="D34" s="7">
        <v>171.85</v>
      </c>
      <c r="E34" s="7">
        <v>139.94999999999999</v>
      </c>
      <c r="F34" s="7">
        <v>118.75</v>
      </c>
      <c r="G34" s="7">
        <v>123.35</v>
      </c>
      <c r="H34" s="7">
        <v>122</v>
      </c>
    </row>
    <row r="35" spans="1:8" ht="20.25" thickBot="1" x14ac:dyDescent="0.3">
      <c r="A35" s="4" t="s">
        <v>2</v>
      </c>
      <c r="B35" s="8"/>
      <c r="C35" s="8"/>
      <c r="D35" s="8"/>
      <c r="E35" s="8"/>
      <c r="F35" s="8"/>
      <c r="G35" s="8"/>
      <c r="H35" s="8"/>
    </row>
    <row r="37" spans="1:8" ht="19.5" x14ac:dyDescent="0.25">
      <c r="A37" s="5" t="s">
        <v>4</v>
      </c>
      <c r="B37" s="5" t="s">
        <v>0</v>
      </c>
    </row>
    <row r="38" spans="1:8" x14ac:dyDescent="0.25">
      <c r="A38" s="6">
        <f>B34</f>
        <v>631.35</v>
      </c>
      <c r="B38" s="6">
        <v>1000</v>
      </c>
    </row>
    <row r="39" spans="1:8" x14ac:dyDescent="0.25">
      <c r="A39" s="6">
        <f>C34</f>
        <v>120.25</v>
      </c>
      <c r="B39" s="6">
        <v>3000</v>
      </c>
    </row>
    <row r="40" spans="1:8" x14ac:dyDescent="0.25">
      <c r="A40" s="6">
        <f>D34</f>
        <v>171.85</v>
      </c>
      <c r="B40" s="6">
        <v>6000</v>
      </c>
    </row>
    <row r="41" spans="1:8" x14ac:dyDescent="0.25">
      <c r="A41" s="6">
        <f>E34</f>
        <v>139.94999999999999</v>
      </c>
      <c r="B41" s="6">
        <v>8000</v>
      </c>
    </row>
    <row r="42" spans="1:8" x14ac:dyDescent="0.25">
      <c r="A42" s="6">
        <f>F34</f>
        <v>118.75</v>
      </c>
      <c r="B42" s="6">
        <v>10000</v>
      </c>
    </row>
    <row r="43" spans="1:8" x14ac:dyDescent="0.25">
      <c r="A43" s="6">
        <f>G34</f>
        <v>123.35</v>
      </c>
      <c r="B43" s="6">
        <v>12000</v>
      </c>
    </row>
    <row r="44" spans="1:8" x14ac:dyDescent="0.25">
      <c r="A44" s="6">
        <f>H34</f>
        <v>122</v>
      </c>
      <c r="B44" s="6">
        <v>14000</v>
      </c>
    </row>
  </sheetData>
  <mergeCells count="56">
    <mergeCell ref="H2:H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  <mergeCell ref="H6:H7"/>
    <mergeCell ref="B6:B7"/>
    <mergeCell ref="C6:C7"/>
    <mergeCell ref="D6:D7"/>
    <mergeCell ref="E6:E7"/>
    <mergeCell ref="F6:F7"/>
    <mergeCell ref="G6:G7"/>
    <mergeCell ref="U2:U3"/>
    <mergeCell ref="T2:T3"/>
    <mergeCell ref="S2:S3"/>
    <mergeCell ref="R2:R3"/>
    <mergeCell ref="Q2:Q3"/>
    <mergeCell ref="P2:P3"/>
    <mergeCell ref="O2:O3"/>
    <mergeCell ref="P4:P5"/>
    <mergeCell ref="O4:O5"/>
    <mergeCell ref="U4:U5"/>
    <mergeCell ref="T4:T5"/>
    <mergeCell ref="S4:S5"/>
    <mergeCell ref="R4:R5"/>
    <mergeCell ref="Q4:Q5"/>
    <mergeCell ref="G30:G31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4:G35"/>
    <mergeCell ref="H34:H35"/>
    <mergeCell ref="B34:B35"/>
    <mergeCell ref="C34:C35"/>
    <mergeCell ref="D34:D35"/>
    <mergeCell ref="E34:E35"/>
    <mergeCell ref="F34:F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ED58-9D34-4110-80D8-8163F768FB00}">
  <dimension ref="A1:H16"/>
  <sheetViews>
    <sheetView zoomScaleNormal="100" workbookViewId="0">
      <selection activeCell="H4" sqref="H4:H5"/>
    </sheetView>
  </sheetViews>
  <sheetFormatPr defaultRowHeight="15" x14ac:dyDescent="0.25"/>
  <cols>
    <col min="1" max="1" width="18.28515625" customWidth="1"/>
    <col min="2" max="2" width="13.28515625" customWidth="1"/>
    <col min="6" max="6" width="10.28515625" bestFit="1" customWidth="1"/>
  </cols>
  <sheetData>
    <row r="1" spans="1:8" ht="20.25" thickBot="1" x14ac:dyDescent="0.3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</row>
    <row r="2" spans="1:8" ht="19.5" x14ac:dyDescent="0.25">
      <c r="A2" s="3" t="s">
        <v>5</v>
      </c>
      <c r="B2" s="7">
        <v>4.57</v>
      </c>
      <c r="C2" s="7">
        <v>5.42</v>
      </c>
      <c r="D2" s="7">
        <v>4.7</v>
      </c>
      <c r="E2" s="7">
        <v>4.42</v>
      </c>
      <c r="F2" s="7">
        <v>8.84</v>
      </c>
      <c r="G2" s="7">
        <v>4.42</v>
      </c>
      <c r="H2" s="7">
        <v>14.5</v>
      </c>
    </row>
    <row r="3" spans="1:8" ht="20.25" thickBot="1" x14ac:dyDescent="0.3">
      <c r="A3" s="4" t="s">
        <v>2</v>
      </c>
      <c r="B3" s="8"/>
      <c r="C3" s="8"/>
      <c r="D3" s="8"/>
      <c r="E3" s="8"/>
      <c r="F3" s="8"/>
      <c r="G3" s="8"/>
      <c r="H3" s="8"/>
    </row>
    <row r="4" spans="1:8" ht="19.5" x14ac:dyDescent="0.25">
      <c r="A4" s="3" t="s">
        <v>5</v>
      </c>
      <c r="B4" s="7">
        <v>1.42</v>
      </c>
      <c r="C4" s="7">
        <v>2.57</v>
      </c>
      <c r="D4" s="7">
        <v>5.0999999999999996</v>
      </c>
      <c r="E4" s="7">
        <v>6.85</v>
      </c>
      <c r="F4" s="7">
        <v>8.5714299999999994</v>
      </c>
      <c r="G4" s="7">
        <v>10.5</v>
      </c>
      <c r="H4" s="7">
        <v>22.1</v>
      </c>
    </row>
    <row r="5" spans="1:8" ht="20.25" thickBot="1" x14ac:dyDescent="0.3">
      <c r="A5" s="4" t="s">
        <v>6</v>
      </c>
      <c r="B5" s="8"/>
      <c r="C5" s="8"/>
      <c r="D5" s="8"/>
      <c r="E5" s="8"/>
      <c r="F5" s="8"/>
      <c r="G5" s="8"/>
      <c r="H5" s="8"/>
    </row>
    <row r="6" spans="1:8" ht="19.5" x14ac:dyDescent="0.25">
      <c r="A6" s="3"/>
      <c r="B6" s="7"/>
      <c r="C6" s="7"/>
      <c r="D6" s="7"/>
      <c r="E6" s="7"/>
      <c r="F6" s="7"/>
      <c r="G6" s="7"/>
      <c r="H6" s="7"/>
    </row>
    <row r="7" spans="1:8" ht="20.25" thickBot="1" x14ac:dyDescent="0.3">
      <c r="A7" s="4"/>
      <c r="B7" s="8"/>
      <c r="C7" s="8"/>
      <c r="D7" s="8"/>
      <c r="E7" s="8"/>
      <c r="F7" s="8"/>
      <c r="G7" s="8"/>
      <c r="H7" s="8"/>
    </row>
    <row r="9" spans="1:8" ht="19.5" x14ac:dyDescent="0.25">
      <c r="A9" s="5" t="s">
        <v>7</v>
      </c>
      <c r="B9" s="5" t="s">
        <v>4</v>
      </c>
      <c r="C9" s="5" t="s">
        <v>0</v>
      </c>
    </row>
    <row r="10" spans="1:8" x14ac:dyDescent="0.25">
      <c r="A10" s="6">
        <v>4.57</v>
      </c>
      <c r="B10" s="6">
        <v>1.42</v>
      </c>
      <c r="C10" s="6">
        <v>1000</v>
      </c>
    </row>
    <row r="11" spans="1:8" x14ac:dyDescent="0.25">
      <c r="A11" s="6">
        <v>5.42</v>
      </c>
      <c r="B11" s="6">
        <v>2.57</v>
      </c>
      <c r="C11" s="6">
        <v>3000</v>
      </c>
    </row>
    <row r="12" spans="1:8" x14ac:dyDescent="0.25">
      <c r="A12" s="6">
        <v>4.7</v>
      </c>
      <c r="B12" s="6">
        <v>5.0999999999999996</v>
      </c>
      <c r="C12" s="6">
        <v>6000</v>
      </c>
    </row>
    <row r="13" spans="1:8" x14ac:dyDescent="0.25">
      <c r="A13" s="6">
        <v>4.42</v>
      </c>
      <c r="B13" s="6">
        <v>6.85</v>
      </c>
      <c r="C13" s="6">
        <v>8000</v>
      </c>
    </row>
    <row r="14" spans="1:8" x14ac:dyDescent="0.25">
      <c r="A14" s="6">
        <v>8.84</v>
      </c>
      <c r="B14" s="6">
        <v>8.57</v>
      </c>
      <c r="C14" s="6">
        <v>10000</v>
      </c>
    </row>
    <row r="15" spans="1:8" x14ac:dyDescent="0.25">
      <c r="A15" s="6">
        <v>4.42</v>
      </c>
      <c r="B15" s="6">
        <v>10.5</v>
      </c>
      <c r="C15" s="6">
        <v>12000</v>
      </c>
    </row>
    <row r="16" spans="1:8" x14ac:dyDescent="0.25">
      <c r="A16" s="6">
        <v>14.5</v>
      </c>
      <c r="B16" s="6">
        <v>22.1</v>
      </c>
      <c r="C16" s="6">
        <v>14000</v>
      </c>
    </row>
  </sheetData>
  <mergeCells count="21">
    <mergeCell ref="H6:H7"/>
    <mergeCell ref="B6:B7"/>
    <mergeCell ref="C6:C7"/>
    <mergeCell ref="D6:D7"/>
    <mergeCell ref="E6:E7"/>
    <mergeCell ref="F6:F7"/>
    <mergeCell ref="G6:G7"/>
    <mergeCell ref="H2:H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Владислав Васильев</cp:lastModifiedBy>
  <dcterms:created xsi:type="dcterms:W3CDTF">2015-06-05T18:19:34Z</dcterms:created>
  <dcterms:modified xsi:type="dcterms:W3CDTF">2026-05-21T00:41:26Z</dcterms:modified>
</cp:coreProperties>
</file>