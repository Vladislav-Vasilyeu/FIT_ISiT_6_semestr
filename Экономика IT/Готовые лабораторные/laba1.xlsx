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3 курс 2 семестр\Экономика IT\Готовые лабораторные\"/>
    </mc:Choice>
  </mc:AlternateContent>
  <xr:revisionPtr revIDLastSave="0" documentId="13_ncr:1_{0E4513F8-2D43-4D66-A462-5FD141981E7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E46" i="1" s="1"/>
  <c r="E52" i="1"/>
  <c r="E57" i="1"/>
  <c r="E45" i="1" s="1"/>
  <c r="E51" i="1"/>
  <c r="B102" i="1"/>
  <c r="B100" i="1"/>
  <c r="B98" i="1"/>
  <c r="B90" i="1"/>
  <c r="B88" i="1"/>
  <c r="B32" i="1"/>
  <c r="B35" i="1" s="1"/>
  <c r="M11" i="1"/>
  <c r="L4" i="1"/>
  <c r="J4" i="1"/>
  <c r="I4" i="1"/>
  <c r="N11" i="1"/>
  <c r="E47" i="1"/>
  <c r="E44" i="1"/>
  <c r="E43" i="1"/>
  <c r="E56" i="1"/>
  <c r="E55" i="1"/>
  <c r="E53" i="1"/>
  <c r="E50" i="1"/>
  <c r="E49" i="1"/>
  <c r="H47" i="1"/>
  <c r="H42" i="1"/>
  <c r="C75" i="1"/>
  <c r="C74" i="1"/>
  <c r="C73" i="1"/>
  <c r="B103" i="1"/>
  <c r="B101" i="1"/>
  <c r="B89" i="1"/>
  <c r="E59" i="1"/>
  <c r="L5" i="1"/>
  <c r="L6" i="1"/>
  <c r="L7" i="1"/>
  <c r="L8" i="1"/>
  <c r="L9" i="1"/>
  <c r="L10" i="1"/>
  <c r="F11" i="1"/>
  <c r="C11" i="1"/>
  <c r="B11" i="1"/>
  <c r="I7" i="1" s="1"/>
  <c r="J6" i="1"/>
  <c r="J7" i="1"/>
  <c r="J8" i="1"/>
  <c r="J9" i="1"/>
  <c r="J10" i="1"/>
  <c r="J5" i="1"/>
  <c r="B33" i="1" l="1"/>
  <c r="I6" i="1"/>
  <c r="I8" i="1"/>
  <c r="I9" i="1"/>
  <c r="I10" i="1"/>
  <c r="L11" i="1"/>
  <c r="O11" i="1" s="1"/>
  <c r="I5" i="1"/>
  <c r="J11" i="1"/>
  <c r="K4" i="1" s="1"/>
  <c r="P11" i="1" l="1"/>
  <c r="I11" i="1"/>
  <c r="K6" i="1"/>
  <c r="K11" i="1"/>
  <c r="K9" i="1"/>
  <c r="K7" i="1"/>
  <c r="K5" i="1"/>
  <c r="K10" i="1"/>
  <c r="K8" i="1"/>
</calcChain>
</file>

<file path=xl/sharedStrings.xml><?xml version="1.0" encoding="utf-8"?>
<sst xmlns="http://schemas.openxmlformats.org/spreadsheetml/2006/main" count="125" uniqueCount="94">
  <si>
    <t>Задача 5 вариант</t>
  </si>
  <si>
    <t>Группы ОС / тыс.руб.</t>
  </si>
  <si>
    <t>ОСн.г.</t>
  </si>
  <si>
    <t>Стоимость ОСвведенных</t>
  </si>
  <si>
    <t>Дата ввода ОС</t>
  </si>
  <si>
    <t>Месяцы работы вводимых ОС</t>
  </si>
  <si>
    <t>Стоимость ОСвыведенных</t>
  </si>
  <si>
    <t>Дата вывода ОС</t>
  </si>
  <si>
    <t>Месяцы работы выводимых ОС</t>
  </si>
  <si>
    <t>Структура на н.г., %</t>
  </si>
  <si>
    <t>ОСк.г.</t>
  </si>
  <si>
    <t>Структура на к.г., %</t>
  </si>
  <si>
    <t>ОСср.г.</t>
  </si>
  <si>
    <t>Кобн (по ОСср.г.)</t>
  </si>
  <si>
    <t>Квыб (по ОСср.г.)</t>
  </si>
  <si>
    <t>Доля акт части, % (по ОСср.г.)</t>
  </si>
  <si>
    <t>Доля пассивной части, % (по ОСср.г)</t>
  </si>
  <si>
    <t>Здания</t>
  </si>
  <si>
    <t>Сооружения</t>
  </si>
  <si>
    <t>Машины и оборудование</t>
  </si>
  <si>
    <t>Инструменты</t>
  </si>
  <si>
    <t>Хоз. инвентарь</t>
  </si>
  <si>
    <t>Транспортные средства</t>
  </si>
  <si>
    <t>Прочие ОФ</t>
  </si>
  <si>
    <t>Итого</t>
  </si>
  <si>
    <t>Рассчитать среднегодовую стоимость производственных основных средств и среднюю норму амортизации за отчетный период</t>
  </si>
  <si>
    <t>Задача</t>
  </si>
  <si>
    <t>Показатели</t>
  </si>
  <si>
    <t>Варианты</t>
  </si>
  <si>
    <t>Стоимость ОС на начало года, тыс. руб., в т.ч.</t>
  </si>
  <si>
    <t>непроизводственные ОС</t>
  </si>
  <si>
    <t>неустановленные ОС</t>
  </si>
  <si>
    <t>ОС в запасе</t>
  </si>
  <si>
    <t>полностью самортизированные ОС</t>
  </si>
  <si>
    <t>Введенные , руб.</t>
  </si>
  <si>
    <t>Дата ввода</t>
  </si>
  <si>
    <t>Месяцы работы</t>
  </si>
  <si>
    <t>Выведенные ОС, руб.</t>
  </si>
  <si>
    <t>Дата вывода</t>
  </si>
  <si>
    <t>Начислено амортизационных отчислений за год, тыс. руб.</t>
  </si>
  <si>
    <t>Среднегодовая стоимость ОПС, тыс. руб.</t>
  </si>
  <si>
    <t>Средняя норма амортизации, %</t>
  </si>
  <si>
    <t>Средний фактический срок эксплуатации, лет</t>
  </si>
  <si>
    <t>Коэффициент износа</t>
  </si>
  <si>
    <t>Проанализировать изменение уровня использования ОС (темпы изменения плановых обобщающих показателей к отчетному году)</t>
  </si>
  <si>
    <t>Задание</t>
  </si>
  <si>
    <t>Таблица 2</t>
  </si>
  <si>
    <t xml:space="preserve">Таблица 1 Показатели </t>
  </si>
  <si>
    <t>Изменение ФО, %</t>
  </si>
  <si>
    <t>Изменение ФЕ, %</t>
  </si>
  <si>
    <t>Отчетный год</t>
  </si>
  <si>
    <t>Изменение ФВ, %</t>
  </si>
  <si>
    <t>Объем произодства продукции, шт.</t>
  </si>
  <si>
    <t>Изменение ТФВ, %</t>
  </si>
  <si>
    <t>А</t>
  </si>
  <si>
    <t>Изменение Rос, %</t>
  </si>
  <si>
    <t>Б</t>
  </si>
  <si>
    <t>отчет</t>
  </si>
  <si>
    <t>В</t>
  </si>
  <si>
    <t>ФО, руб.</t>
  </si>
  <si>
    <t>Цена продукции, руб./шт.</t>
  </si>
  <si>
    <t>ФЕ, руб.</t>
  </si>
  <si>
    <t>ФВ,руб.</t>
  </si>
  <si>
    <t>ТВ, руб.</t>
  </si>
  <si>
    <t>Р, %</t>
  </si>
  <si>
    <t>Себестоимость продукции, руб./шт.</t>
  </si>
  <si>
    <t>план</t>
  </si>
  <si>
    <t>Среднегодовая стоимость ОС, тыс. руб.</t>
  </si>
  <si>
    <t>в т.ч. здания, сооружения, инвентарь</t>
  </si>
  <si>
    <t>Численность работников, чел.</t>
  </si>
  <si>
    <t>Плановый год</t>
  </si>
  <si>
    <t>Рост среднегодовой стоимости ОС, %</t>
  </si>
  <si>
    <t>в т.ч. здания, сооружения, инвентарь, %</t>
  </si>
  <si>
    <t>Сокращение численности работников, %</t>
  </si>
  <si>
    <t>ПП, тыс. руб.</t>
  </si>
  <si>
    <t>План</t>
  </si>
  <si>
    <t>Рассчитать показатели использования Оборотных средств (ОбС)</t>
  </si>
  <si>
    <t>Задача 1</t>
  </si>
  <si>
    <t>Длительность оборота оборотных средств факт, дни</t>
  </si>
  <si>
    <t>Длительность оборота оборотных средств план, дни</t>
  </si>
  <si>
    <t>Средний остаток ОбС за период, тыс. руб.</t>
  </si>
  <si>
    <t>Число дней в периодне, дни</t>
  </si>
  <si>
    <t>Реализованная продукция факт, тыс. руб.</t>
  </si>
  <si>
    <t>Реализованная продукция план, тыс. руб.</t>
  </si>
  <si>
    <t>Прирост реализованной продукции, тыс. руб.</t>
  </si>
  <si>
    <t>Задача 2</t>
  </si>
  <si>
    <t>Реализованная продукция, тыс. руб.</t>
  </si>
  <si>
    <t>Средний остаток ОбС за период факт, тыс. руб.</t>
  </si>
  <si>
    <t>Коэффициент оборачиваемости факт</t>
  </si>
  <si>
    <t>Коэффициент оборачиваемости план</t>
  </si>
  <si>
    <t>Длительность одного оборота ОбС факт, дни</t>
  </si>
  <si>
    <t>Длительность одного оборота ОбСплан, дни</t>
  </si>
  <si>
    <t>Средний остаток ОбС за период план, тыс. руб.</t>
  </si>
  <si>
    <t>Размер высвобождаемых ОбС, тыс.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</si>
</sst>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rgb="FFFF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name val="Calibri"/>
      <family val="2"/>
      <charset val="204"/>
      <scheme val="minor"/>
    </font>
    <font>
      <b/>
      <i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4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0">
    <xf numFmtId="0" fontId="0" fillId="0" borderId="0" xfId="0"/>
    <xf numFmtId="0" fontId="2" fillId="0" borderId="0" xfId="1"/>
    <xf numFmtId="0" fontId="3" fillId="3" borderId="0" xfId="1" applyFont="1" applyFill="1"/>
    <xf numFmtId="0" fontId="6" fillId="0" borderId="3" xfId="1" applyFont="1" applyBorder="1"/>
    <xf numFmtId="1" fontId="6" fillId="0" borderId="3" xfId="1" applyNumberFormat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16" fontId="6" fillId="0" borderId="3" xfId="1" applyNumberFormat="1" applyFont="1" applyBorder="1" applyAlignment="1">
      <alignment horizontal="center"/>
    </xf>
    <xf numFmtId="2" fontId="6" fillId="0" borderId="3" xfId="1" applyNumberFormat="1" applyFont="1" applyBorder="1" applyAlignment="1">
      <alignment horizontal="center"/>
    </xf>
    <xf numFmtId="0" fontId="6" fillId="4" borderId="3" xfId="1" applyFont="1" applyFill="1" applyBorder="1"/>
    <xf numFmtId="0" fontId="7" fillId="0" borderId="3" xfId="1" applyFont="1" applyBorder="1"/>
    <xf numFmtId="2" fontId="7" fillId="0" borderId="3" xfId="1" applyNumberFormat="1" applyFont="1" applyBorder="1" applyAlignment="1">
      <alignment horizontal="center"/>
    </xf>
    <xf numFmtId="164" fontId="7" fillId="0" borderId="3" xfId="1" applyNumberFormat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5" fillId="0" borderId="0" xfId="1" applyFont="1"/>
    <xf numFmtId="0" fontId="4" fillId="0" borderId="0" xfId="1" applyFont="1"/>
    <xf numFmtId="0" fontId="8" fillId="0" borderId="0" xfId="1" applyFont="1"/>
    <xf numFmtId="0" fontId="6" fillId="0" borderId="0" xfId="1" applyFont="1"/>
    <xf numFmtId="0" fontId="6" fillId="0" borderId="3" xfId="1" applyFont="1" applyBorder="1" applyAlignment="1">
      <alignment horizontal="left"/>
    </xf>
    <xf numFmtId="0" fontId="6" fillId="0" borderId="3" xfId="1" applyFont="1" applyBorder="1" applyAlignment="1">
      <alignment horizontal="right"/>
    </xf>
    <xf numFmtId="0" fontId="11" fillId="3" borderId="3" xfId="1" applyFont="1" applyFill="1" applyBorder="1"/>
    <xf numFmtId="0" fontId="11" fillId="3" borderId="3" xfId="1" applyFont="1" applyFill="1" applyBorder="1" applyAlignment="1">
      <alignment horizontal="center"/>
    </xf>
    <xf numFmtId="0" fontId="6" fillId="0" borderId="3" xfId="1" applyFont="1" applyBorder="1" applyAlignment="1">
      <alignment wrapText="1"/>
    </xf>
    <xf numFmtId="0" fontId="7" fillId="3" borderId="3" xfId="1" applyFont="1" applyFill="1" applyBorder="1"/>
    <xf numFmtId="165" fontId="11" fillId="3" borderId="3" xfId="1" applyNumberFormat="1" applyFont="1" applyFill="1" applyBorder="1" applyAlignment="1">
      <alignment horizontal="center"/>
    </xf>
    <xf numFmtId="0" fontId="3" fillId="3" borderId="3" xfId="1" applyFont="1" applyFill="1" applyBorder="1"/>
    <xf numFmtId="164" fontId="3" fillId="3" borderId="3" xfId="1" applyNumberFormat="1" applyFont="1" applyFill="1" applyBorder="1" applyAlignment="1">
      <alignment horizontal="center"/>
    </xf>
    <xf numFmtId="165" fontId="11" fillId="0" borderId="3" xfId="1" applyNumberFormat="1" applyFont="1" applyBorder="1" applyAlignment="1">
      <alignment horizontal="center"/>
    </xf>
    <xf numFmtId="0" fontId="9" fillId="5" borderId="3" xfId="1" applyFont="1" applyFill="1" applyBorder="1" applyAlignment="1">
      <alignment horizontal="center" vertical="top" wrapText="1"/>
    </xf>
    <xf numFmtId="0" fontId="1" fillId="0" borderId="0" xfId="2"/>
    <xf numFmtId="0" fontId="4" fillId="0" borderId="0" xfId="2" applyFont="1"/>
    <xf numFmtId="0" fontId="12" fillId="0" borderId="0" xfId="2" applyFont="1"/>
    <xf numFmtId="0" fontId="13" fillId="0" borderId="0" xfId="2" applyFont="1"/>
    <xf numFmtId="0" fontId="9" fillId="3" borderId="3" xfId="2" applyFont="1" applyFill="1" applyBorder="1" applyAlignment="1">
      <alignment horizontal="center" vertical="top" wrapText="1"/>
    </xf>
    <xf numFmtId="0" fontId="3" fillId="0" borderId="3" xfId="2" applyFont="1" applyBorder="1"/>
    <xf numFmtId="2" fontId="1" fillId="0" borderId="3" xfId="2" applyNumberFormat="1" applyBorder="1"/>
    <xf numFmtId="0" fontId="14" fillId="2" borderId="3" xfId="2" applyFont="1" applyFill="1" applyBorder="1" applyAlignment="1">
      <alignment horizontal="center" vertical="top" wrapText="1"/>
    </xf>
    <xf numFmtId="0" fontId="13" fillId="0" borderId="3" xfId="2" applyFont="1" applyBorder="1"/>
    <xf numFmtId="0" fontId="15" fillId="3" borderId="3" xfId="2" applyFont="1" applyFill="1" applyBorder="1"/>
    <xf numFmtId="2" fontId="1" fillId="0" borderId="0" xfId="2" applyNumberFormat="1"/>
    <xf numFmtId="0" fontId="6" fillId="0" borderId="4" xfId="2" applyFont="1" applyBorder="1"/>
    <xf numFmtId="0" fontId="16" fillId="0" borderId="0" xfId="2" applyFont="1"/>
    <xf numFmtId="0" fontId="18" fillId="3" borderId="3" xfId="2" applyFont="1" applyFill="1" applyBorder="1"/>
    <xf numFmtId="0" fontId="10" fillId="2" borderId="3" xfId="1" applyFont="1" applyFill="1" applyBorder="1" applyAlignment="1">
      <alignment vertical="top" wrapText="1"/>
    </xf>
    <xf numFmtId="0" fontId="14" fillId="2" borderId="3" xfId="2" applyFont="1" applyFill="1" applyBorder="1" applyAlignment="1">
      <alignment vertical="top" wrapText="1"/>
    </xf>
    <xf numFmtId="0" fontId="0" fillId="6" borderId="3" xfId="0" applyFill="1" applyBorder="1"/>
    <xf numFmtId="0" fontId="9" fillId="2" borderId="3" xfId="2" applyFont="1" applyFill="1" applyBorder="1" applyAlignment="1">
      <alignment horizontal="center" vertical="top" wrapText="1"/>
    </xf>
    <xf numFmtId="0" fontId="6" fillId="0" borderId="3" xfId="2" applyFont="1" applyBorder="1"/>
    <xf numFmtId="0" fontId="6" fillId="0" borderId="3" xfId="2" applyFont="1" applyBorder="1" applyAlignment="1">
      <alignment horizontal="center"/>
    </xf>
    <xf numFmtId="0" fontId="6" fillId="0" borderId="0" xfId="2" applyFont="1"/>
    <xf numFmtId="0" fontId="11" fillId="3" borderId="3" xfId="2" applyFont="1" applyFill="1" applyBorder="1"/>
    <xf numFmtId="0" fontId="7" fillId="3" borderId="3" xfId="2" applyFont="1" applyFill="1" applyBorder="1"/>
    <xf numFmtId="165" fontId="11" fillId="3" borderId="3" xfId="2" applyNumberFormat="1" applyFont="1" applyFill="1" applyBorder="1" applyAlignment="1">
      <alignment horizontal="center"/>
    </xf>
    <xf numFmtId="165" fontId="11" fillId="0" borderId="3" xfId="2" applyNumberFormat="1" applyFont="1" applyBorder="1" applyAlignment="1">
      <alignment horizontal="center"/>
    </xf>
    <xf numFmtId="0" fontId="11" fillId="0" borderId="3" xfId="2" applyFont="1" applyBorder="1"/>
    <xf numFmtId="0" fontId="10" fillId="2" borderId="3" xfId="2" applyFont="1" applyFill="1" applyBorder="1" applyAlignment="1">
      <alignment vertical="top" wrapText="1"/>
    </xf>
    <xf numFmtId="2" fontId="6" fillId="2" borderId="1" xfId="1" applyNumberFormat="1" applyFont="1" applyFill="1" applyBorder="1" applyAlignment="1">
      <alignment horizontal="center" wrapText="1"/>
    </xf>
    <xf numFmtId="2" fontId="6" fillId="2" borderId="2" xfId="1" applyNumberFormat="1" applyFont="1" applyFill="1" applyBorder="1" applyAlignment="1">
      <alignment horizontal="center" wrapText="1"/>
    </xf>
    <xf numFmtId="0" fontId="9" fillId="2" borderId="3" xfId="2" applyFont="1" applyFill="1" applyBorder="1" applyAlignment="1">
      <alignment horizontal="center" vertical="top" wrapText="1"/>
    </xf>
    <xf numFmtId="0" fontId="17" fillId="2" borderId="3" xfId="2" applyFont="1" applyFill="1" applyBorder="1" applyAlignment="1">
      <alignment horizontal="center" vertical="top" wrapText="1"/>
    </xf>
    <xf numFmtId="0" fontId="9" fillId="2" borderId="3" xfId="1" applyFont="1" applyFill="1" applyBorder="1" applyAlignment="1">
      <alignment horizontal="center" vertical="top" wrapText="1"/>
    </xf>
  </cellXfs>
  <cellStyles count="3">
    <cellStyle name="Обычный" xfId="0" builtinId="0"/>
    <cellStyle name="Обычный 2" xfId="1" xr:uid="{34CF51A8-64C1-4ACF-917C-341E18F86273}"/>
    <cellStyle name="Обычный 3" xfId="2" xr:uid="{278BF7F0-DD0E-473E-B2CC-7C53B6AA59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3"/>
  <sheetViews>
    <sheetView tabSelected="1" topLeftCell="A79" zoomScale="113" zoomScaleNormal="160" workbookViewId="0">
      <selection activeCell="L84" sqref="L84"/>
    </sheetView>
  </sheetViews>
  <sheetFormatPr defaultRowHeight="15" x14ac:dyDescent="0.25"/>
  <cols>
    <col min="1" max="1" width="49.5703125" customWidth="1"/>
    <col min="3" max="3" width="12.5703125" customWidth="1"/>
    <col min="4" max="4" width="20" customWidth="1"/>
    <col min="5" max="5" width="14.28515625" customWidth="1"/>
    <col min="6" max="6" width="14.85546875" customWidth="1"/>
    <col min="7" max="7" width="14" customWidth="1"/>
    <col min="8" max="8" width="14.85546875" customWidth="1"/>
    <col min="13" max="13" width="19" customWidth="1"/>
    <col min="15" max="15" width="13.85546875" customWidth="1"/>
    <col min="16" max="16" width="16.7109375" customWidth="1"/>
  </cols>
  <sheetData>
    <row r="1" spans="1:16" ht="11.25" customHeight="1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.5" customHeight="1" x14ac:dyDescent="0.25">
      <c r="A2" s="55" t="s">
        <v>1</v>
      </c>
      <c r="B2" s="55" t="s">
        <v>2</v>
      </c>
      <c r="C2" s="55" t="s">
        <v>3</v>
      </c>
      <c r="D2" s="55" t="s">
        <v>4</v>
      </c>
      <c r="E2" s="55" t="s">
        <v>5</v>
      </c>
      <c r="F2" s="55" t="s">
        <v>6</v>
      </c>
      <c r="G2" s="55" t="s">
        <v>7</v>
      </c>
      <c r="H2" s="55" t="s">
        <v>8</v>
      </c>
      <c r="I2" s="55" t="s">
        <v>9</v>
      </c>
      <c r="J2" s="55" t="s">
        <v>10</v>
      </c>
      <c r="K2" s="55" t="s">
        <v>11</v>
      </c>
      <c r="L2" s="55" t="s">
        <v>12</v>
      </c>
      <c r="M2" s="55" t="s">
        <v>13</v>
      </c>
      <c r="N2" s="55" t="s">
        <v>14</v>
      </c>
      <c r="O2" s="55" t="s">
        <v>15</v>
      </c>
      <c r="P2" s="55" t="s">
        <v>16</v>
      </c>
    </row>
    <row r="3" spans="1:16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3" t="s">
        <v>17</v>
      </c>
      <c r="B4" s="5">
        <v>980</v>
      </c>
      <c r="C4" s="5">
        <v>20</v>
      </c>
      <c r="D4" s="6">
        <v>44958</v>
      </c>
      <c r="E4" s="4">
        <v>11</v>
      </c>
      <c r="F4" s="5">
        <v>25</v>
      </c>
      <c r="G4" s="6">
        <v>45047</v>
      </c>
      <c r="H4" s="4">
        <v>4</v>
      </c>
      <c r="I4" s="7">
        <f>B4/B11*100</f>
        <v>12.686084142394821</v>
      </c>
      <c r="J4" s="4">
        <f>B4+C4-F4</f>
        <v>975</v>
      </c>
      <c r="K4" s="7">
        <f>J4/J11*100</f>
        <v>12.154076290201944</v>
      </c>
      <c r="L4" s="4">
        <f>B4+C4*E4/12-F4*(12-H4)/12</f>
        <v>981.66666666666674</v>
      </c>
      <c r="M4" s="8"/>
      <c r="N4" s="8"/>
      <c r="O4" s="8"/>
      <c r="P4" s="8"/>
    </row>
    <row r="5" spans="1:16" x14ac:dyDescent="0.25">
      <c r="A5" s="3" t="s">
        <v>18</v>
      </c>
      <c r="B5" s="5">
        <v>360</v>
      </c>
      <c r="C5" s="5">
        <v>30</v>
      </c>
      <c r="D5" s="6">
        <v>45078</v>
      </c>
      <c r="E5" s="4">
        <v>7</v>
      </c>
      <c r="F5" s="5">
        <v>10</v>
      </c>
      <c r="G5" s="6">
        <v>45078</v>
      </c>
      <c r="H5" s="4">
        <v>5</v>
      </c>
      <c r="I5" s="7">
        <f>B5/B11*100</f>
        <v>4.6601941747572813</v>
      </c>
      <c r="J5" s="4">
        <f>B5+C5-F5</f>
        <v>380</v>
      </c>
      <c r="K5" s="7">
        <f>J5/$J$11*100</f>
        <v>4.7369733233607585</v>
      </c>
      <c r="L5" s="4">
        <f t="shared" ref="L5:L10" si="0">B5+C5*E5/12-F5*(12-H5)/12</f>
        <v>371.66666666666669</v>
      </c>
      <c r="M5" s="8"/>
      <c r="N5" s="8"/>
      <c r="O5" s="8"/>
      <c r="P5" s="8"/>
    </row>
    <row r="6" spans="1:16" x14ac:dyDescent="0.25">
      <c r="A6" s="3" t="s">
        <v>19</v>
      </c>
      <c r="B6" s="5">
        <v>5450</v>
      </c>
      <c r="C6" s="5">
        <v>410</v>
      </c>
      <c r="D6" s="6">
        <v>44986</v>
      </c>
      <c r="E6" s="4">
        <v>10</v>
      </c>
      <c r="F6" s="5">
        <v>130</v>
      </c>
      <c r="G6" s="6">
        <v>45200</v>
      </c>
      <c r="H6" s="4">
        <v>9</v>
      </c>
      <c r="I6" s="7">
        <f>B6/B11*100</f>
        <v>70.550161812297731</v>
      </c>
      <c r="J6" s="4">
        <f t="shared" ref="J6:J11" si="1">B6+C6-F6</f>
        <v>5730</v>
      </c>
      <c r="K6" s="7">
        <f t="shared" ref="K6:K11" si="2">J6/$J$11*100</f>
        <v>71.428571428571431</v>
      </c>
      <c r="L6" s="4">
        <f t="shared" si="0"/>
        <v>5759.166666666667</v>
      </c>
      <c r="M6" s="8"/>
      <c r="N6" s="8"/>
      <c r="O6" s="8"/>
      <c r="P6" s="8"/>
    </row>
    <row r="7" spans="1:16" x14ac:dyDescent="0.25">
      <c r="A7" s="3" t="s">
        <v>20</v>
      </c>
      <c r="B7" s="5">
        <v>360</v>
      </c>
      <c r="C7" s="5">
        <v>0</v>
      </c>
      <c r="D7" s="4">
        <v>0</v>
      </c>
      <c r="E7" s="4">
        <v>0</v>
      </c>
      <c r="F7" s="5">
        <v>18</v>
      </c>
      <c r="G7" s="6">
        <v>45231</v>
      </c>
      <c r="H7" s="4">
        <v>10</v>
      </c>
      <c r="I7" s="7">
        <f>B7/B11*100</f>
        <v>4.6601941747572813</v>
      </c>
      <c r="J7" s="4">
        <f t="shared" si="1"/>
        <v>342</v>
      </c>
      <c r="K7" s="7">
        <f t="shared" si="2"/>
        <v>4.263275991024682</v>
      </c>
      <c r="L7" s="4">
        <f t="shared" si="0"/>
        <v>357</v>
      </c>
      <c r="M7" s="8"/>
      <c r="N7" s="8"/>
      <c r="O7" s="8"/>
      <c r="P7" s="8"/>
    </row>
    <row r="8" spans="1:16" x14ac:dyDescent="0.25">
      <c r="A8" s="3" t="s">
        <v>21</v>
      </c>
      <c r="B8" s="5">
        <v>125</v>
      </c>
      <c r="C8" s="5">
        <v>23</v>
      </c>
      <c r="D8" s="6">
        <v>45200</v>
      </c>
      <c r="E8" s="4">
        <v>3</v>
      </c>
      <c r="F8" s="5">
        <v>36</v>
      </c>
      <c r="G8" s="6">
        <v>45017</v>
      </c>
      <c r="H8" s="4">
        <v>3</v>
      </c>
      <c r="I8" s="7">
        <f>B8/B11*100</f>
        <v>1.6181229773462782</v>
      </c>
      <c r="J8" s="4">
        <f t="shared" si="1"/>
        <v>112</v>
      </c>
      <c r="K8" s="7">
        <f t="shared" si="2"/>
        <v>1.3961605584642234</v>
      </c>
      <c r="L8" s="4">
        <f t="shared" si="0"/>
        <v>103.75</v>
      </c>
      <c r="M8" s="8"/>
      <c r="N8" s="8"/>
      <c r="O8" s="8"/>
      <c r="P8" s="8"/>
    </row>
    <row r="9" spans="1:16" x14ac:dyDescent="0.25">
      <c r="A9" s="3" t="s">
        <v>22</v>
      </c>
      <c r="B9" s="5">
        <v>380</v>
      </c>
      <c r="C9" s="5">
        <v>45</v>
      </c>
      <c r="D9" s="6">
        <v>45261</v>
      </c>
      <c r="E9" s="4">
        <v>1</v>
      </c>
      <c r="F9" s="5">
        <v>15</v>
      </c>
      <c r="G9" s="6">
        <v>45170</v>
      </c>
      <c r="H9" s="4">
        <v>8</v>
      </c>
      <c r="I9" s="7">
        <f>B9/B11*100</f>
        <v>4.9190938511326863</v>
      </c>
      <c r="J9" s="4">
        <f t="shared" si="1"/>
        <v>410</v>
      </c>
      <c r="K9" s="7">
        <f t="shared" si="2"/>
        <v>5.1109449015208179</v>
      </c>
      <c r="L9" s="4">
        <f t="shared" si="0"/>
        <v>378.75</v>
      </c>
      <c r="M9" s="8"/>
      <c r="N9" s="8"/>
      <c r="O9" s="8"/>
      <c r="P9" s="8"/>
    </row>
    <row r="10" spans="1:16" x14ac:dyDescent="0.25">
      <c r="A10" s="3" t="s">
        <v>23</v>
      </c>
      <c r="B10" s="5">
        <v>70</v>
      </c>
      <c r="C10" s="5">
        <v>15</v>
      </c>
      <c r="D10" s="6">
        <v>45017</v>
      </c>
      <c r="E10" s="4">
        <v>9</v>
      </c>
      <c r="F10" s="5">
        <v>12</v>
      </c>
      <c r="G10" s="6">
        <v>44958</v>
      </c>
      <c r="H10" s="4">
        <v>1</v>
      </c>
      <c r="I10" s="7">
        <f>B10/B11*100</f>
        <v>0.90614886731391586</v>
      </c>
      <c r="J10" s="4">
        <f t="shared" si="1"/>
        <v>73</v>
      </c>
      <c r="K10" s="7">
        <f t="shared" si="2"/>
        <v>0.90999750685614567</v>
      </c>
      <c r="L10" s="4">
        <f t="shared" si="0"/>
        <v>70.25</v>
      </c>
      <c r="M10" s="8"/>
      <c r="N10" s="8"/>
      <c r="O10" s="8"/>
      <c r="P10" s="8"/>
    </row>
    <row r="11" spans="1:16" x14ac:dyDescent="0.25">
      <c r="A11" s="9" t="s">
        <v>24</v>
      </c>
      <c r="B11" s="12">
        <f>SUM(B4:B10)</f>
        <v>7725</v>
      </c>
      <c r="C11" s="12">
        <f>SUM(C4:C10)</f>
        <v>543</v>
      </c>
      <c r="D11" s="8"/>
      <c r="E11" s="8"/>
      <c r="F11" s="12">
        <f>SUM(F4:F10)</f>
        <v>246</v>
      </c>
      <c r="G11" s="8"/>
      <c r="H11" s="8"/>
      <c r="I11" s="7">
        <f>SUM(I4:I10)</f>
        <v>99.999999999999986</v>
      </c>
      <c r="J11" s="4">
        <f t="shared" si="1"/>
        <v>8022</v>
      </c>
      <c r="K11" s="7">
        <f t="shared" si="2"/>
        <v>100</v>
      </c>
      <c r="L11" s="4">
        <f>SUM(L4:L10)</f>
        <v>8022.25</v>
      </c>
      <c r="M11" s="11">
        <f>C11/J11</f>
        <v>6.768885564697083E-2</v>
      </c>
      <c r="N11" s="11">
        <f>F11/B11</f>
        <v>3.1844660194174756E-2</v>
      </c>
      <c r="O11" s="10">
        <f>(L6+L7+L9)/L11*100</f>
        <v>80.961284760094316</v>
      </c>
      <c r="P11" s="10">
        <f>(L4+L5+L8+L10)/L11*100</f>
        <v>19.038715239905681</v>
      </c>
    </row>
    <row r="16" spans="1:16" ht="15.75" x14ac:dyDescent="0.25">
      <c r="A16" s="13" t="s">
        <v>25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15.75" x14ac:dyDescent="0.25">
      <c r="A17" s="14" t="s">
        <v>26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 x14ac:dyDescent="0.25">
      <c r="A18" s="59" t="s">
        <v>27</v>
      </c>
      <c r="B18" s="42" t="s">
        <v>28</v>
      </c>
    </row>
    <row r="19" spans="1:11" x14ac:dyDescent="0.25">
      <c r="A19" s="59"/>
      <c r="B19" s="27">
        <v>5</v>
      </c>
    </row>
    <row r="20" spans="1:11" x14ac:dyDescent="0.25">
      <c r="A20" s="17" t="s">
        <v>29</v>
      </c>
      <c r="B20" s="5">
        <v>990</v>
      </c>
    </row>
    <row r="21" spans="1:11" x14ac:dyDescent="0.25">
      <c r="A21" s="18" t="s">
        <v>30</v>
      </c>
      <c r="B21" s="5">
        <v>14</v>
      </c>
    </row>
    <row r="22" spans="1:11" x14ac:dyDescent="0.25">
      <c r="A22" s="18" t="s">
        <v>31</v>
      </c>
      <c r="B22" s="5">
        <v>1.5</v>
      </c>
    </row>
    <row r="23" spans="1:11" x14ac:dyDescent="0.25">
      <c r="A23" s="18" t="s">
        <v>32</v>
      </c>
      <c r="B23" s="5">
        <v>16</v>
      </c>
    </row>
    <row r="24" spans="1:11" x14ac:dyDescent="0.25">
      <c r="A24" s="18" t="s">
        <v>33</v>
      </c>
      <c r="B24" s="5">
        <v>0</v>
      </c>
    </row>
    <row r="25" spans="1:11" x14ac:dyDescent="0.25">
      <c r="A25" s="3" t="s">
        <v>34</v>
      </c>
      <c r="B25" s="5">
        <v>127000</v>
      </c>
    </row>
    <row r="26" spans="1:11" x14ac:dyDescent="0.25">
      <c r="A26" s="3" t="s">
        <v>35</v>
      </c>
      <c r="B26" s="6">
        <v>44986</v>
      </c>
    </row>
    <row r="27" spans="1:11" x14ac:dyDescent="0.25">
      <c r="A27" s="19" t="s">
        <v>36</v>
      </c>
      <c r="B27" s="20">
        <v>10</v>
      </c>
    </row>
    <row r="28" spans="1:11" x14ac:dyDescent="0.25">
      <c r="A28" s="3" t="s">
        <v>37</v>
      </c>
      <c r="B28" s="5">
        <v>170000</v>
      </c>
    </row>
    <row r="29" spans="1:11" x14ac:dyDescent="0.25">
      <c r="A29" s="3" t="s">
        <v>38</v>
      </c>
      <c r="B29" s="6">
        <v>45214</v>
      </c>
    </row>
    <row r="30" spans="1:11" x14ac:dyDescent="0.25">
      <c r="A30" s="19" t="s">
        <v>36</v>
      </c>
      <c r="B30" s="20">
        <v>9.5</v>
      </c>
    </row>
    <row r="31" spans="1:11" ht="51.75" customHeight="1" x14ac:dyDescent="0.25">
      <c r="A31" s="21" t="s">
        <v>39</v>
      </c>
      <c r="B31" s="5">
        <v>250</v>
      </c>
    </row>
    <row r="32" spans="1:11" x14ac:dyDescent="0.25">
      <c r="A32" s="22" t="s">
        <v>40</v>
      </c>
      <c r="B32" s="23">
        <f>(B20-B21-B22-B23-B24)+(B25/1000)*B27/12-(B28/1000)*(12-B30)/12</f>
        <v>1028.9166666666665</v>
      </c>
    </row>
    <row r="33" spans="1:23" x14ac:dyDescent="0.25">
      <c r="A33" s="22" t="s">
        <v>41</v>
      </c>
      <c r="B33" s="23">
        <f>B31/B32*100</f>
        <v>24.29740017818094</v>
      </c>
    </row>
    <row r="34" spans="1:23" x14ac:dyDescent="0.25">
      <c r="A34" s="9" t="s">
        <v>42</v>
      </c>
      <c r="B34" s="26">
        <v>2.5</v>
      </c>
    </row>
    <row r="35" spans="1:23" x14ac:dyDescent="0.25">
      <c r="A35" s="24" t="s">
        <v>43</v>
      </c>
      <c r="B35" s="25">
        <f>B31*B34/B32</f>
        <v>0.60743500445452348</v>
      </c>
    </row>
    <row r="40" spans="1:23" ht="18.75" x14ac:dyDescent="0.3">
      <c r="A40" s="40" t="s">
        <v>44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</row>
    <row r="41" spans="1:23" ht="15.75" x14ac:dyDescent="0.25">
      <c r="A41" s="29" t="s">
        <v>45</v>
      </c>
      <c r="B41" s="31"/>
      <c r="C41" s="31"/>
      <c r="F41" s="31"/>
      <c r="G41" s="31"/>
      <c r="H41" s="31"/>
      <c r="I41" s="31"/>
      <c r="J41" s="31"/>
      <c r="K41" s="31"/>
      <c r="L41" s="28"/>
    </row>
    <row r="42" spans="1:23" ht="18.75" x14ac:dyDescent="0.3">
      <c r="A42" s="58" t="s">
        <v>47</v>
      </c>
      <c r="B42" s="43" t="s">
        <v>28</v>
      </c>
      <c r="C42" s="28"/>
      <c r="D42" s="41" t="s">
        <v>46</v>
      </c>
      <c r="E42" s="32">
        <v>5</v>
      </c>
      <c r="G42" s="44" t="s">
        <v>74</v>
      </c>
      <c r="H42" s="44">
        <f>(B46*B50+B47*B51+B48*B52)/1000</f>
        <v>3170</v>
      </c>
    </row>
    <row r="43" spans="1:23" x14ac:dyDescent="0.25">
      <c r="A43" s="58"/>
      <c r="B43" s="35">
        <v>5</v>
      </c>
      <c r="C43" s="28"/>
      <c r="D43" s="33" t="s">
        <v>48</v>
      </c>
      <c r="E43" s="34">
        <f>E55/E49*100</f>
        <v>98.208439973811082</v>
      </c>
    </row>
    <row r="44" spans="1:23" x14ac:dyDescent="0.25">
      <c r="A44" s="35" t="s">
        <v>50</v>
      </c>
      <c r="B44" s="35"/>
      <c r="C44" s="28"/>
      <c r="D44" s="33" t="s">
        <v>49</v>
      </c>
      <c r="E44" s="34">
        <f>E56/E50*100</f>
        <v>101.82424242424241</v>
      </c>
    </row>
    <row r="45" spans="1:23" x14ac:dyDescent="0.25">
      <c r="A45" s="36" t="s">
        <v>52</v>
      </c>
      <c r="B45" s="36"/>
      <c r="C45" s="28"/>
      <c r="D45" s="33" t="s">
        <v>51</v>
      </c>
      <c r="E45" s="34">
        <f>E57/E51*100</f>
        <v>111.57894736842104</v>
      </c>
    </row>
    <row r="46" spans="1:23" x14ac:dyDescent="0.25">
      <c r="A46" s="36" t="s">
        <v>54</v>
      </c>
      <c r="B46" s="36">
        <v>4000</v>
      </c>
      <c r="C46" s="28"/>
      <c r="D46" s="33" t="s">
        <v>53</v>
      </c>
      <c r="E46" s="34">
        <f>E58/E52*100</f>
        <v>111.80854821617802</v>
      </c>
      <c r="G46" t="s">
        <v>75</v>
      </c>
    </row>
    <row r="47" spans="1:23" x14ac:dyDescent="0.25">
      <c r="A47" s="36" t="s">
        <v>56</v>
      </c>
      <c r="B47" s="36">
        <v>2500</v>
      </c>
      <c r="C47" s="28"/>
      <c r="D47" s="33" t="s">
        <v>55</v>
      </c>
      <c r="E47" s="34">
        <f>E59/E53*100</f>
        <v>98.208439973811082</v>
      </c>
      <c r="G47" s="44" t="s">
        <v>74</v>
      </c>
      <c r="H47" s="44">
        <f>(B62*B66+B63*B67+B64*B68)/1000</f>
        <v>3300</v>
      </c>
    </row>
    <row r="48" spans="1:23" x14ac:dyDescent="0.25">
      <c r="A48" s="36" t="s">
        <v>58</v>
      </c>
      <c r="B48" s="36">
        <v>4200</v>
      </c>
      <c r="C48" s="28"/>
      <c r="D48" s="37" t="s">
        <v>57</v>
      </c>
      <c r="E48" s="34"/>
    </row>
    <row r="49" spans="1:14" x14ac:dyDescent="0.25">
      <c r="A49" s="36" t="s">
        <v>60</v>
      </c>
      <c r="B49" s="36"/>
      <c r="C49" s="28"/>
      <c r="D49" s="33" t="s">
        <v>59</v>
      </c>
      <c r="E49" s="34">
        <f>H42/B57</f>
        <v>1.9567901234567902</v>
      </c>
    </row>
    <row r="50" spans="1:14" x14ac:dyDescent="0.25">
      <c r="A50" s="36" t="s">
        <v>54</v>
      </c>
      <c r="B50" s="36">
        <v>220</v>
      </c>
      <c r="C50" s="28"/>
      <c r="D50" s="33" t="s">
        <v>61</v>
      </c>
      <c r="E50" s="34">
        <f>B57/H42</f>
        <v>0.51104100946372244</v>
      </c>
    </row>
    <row r="51" spans="1:14" x14ac:dyDescent="0.25">
      <c r="A51" s="36" t="s">
        <v>56</v>
      </c>
      <c r="B51" s="36">
        <v>160</v>
      </c>
      <c r="C51" s="28"/>
      <c r="D51" s="33" t="s">
        <v>62</v>
      </c>
      <c r="E51" s="34">
        <f>B57/B59*1000</f>
        <v>291.62916291629165</v>
      </c>
    </row>
    <row r="52" spans="1:14" x14ac:dyDescent="0.25">
      <c r="A52" s="36" t="s">
        <v>58</v>
      </c>
      <c r="B52" s="36">
        <v>450</v>
      </c>
      <c r="C52" s="28"/>
      <c r="D52" s="33" t="s">
        <v>63</v>
      </c>
      <c r="E52" s="34">
        <f>(B57-B58)/B59*1000</f>
        <v>268.22682268226822</v>
      </c>
    </row>
    <row r="53" spans="1:14" x14ac:dyDescent="0.25">
      <c r="A53" s="36" t="s">
        <v>65</v>
      </c>
      <c r="B53" s="36"/>
      <c r="C53" s="28"/>
      <c r="D53" s="33" t="s">
        <v>64</v>
      </c>
      <c r="E53" s="34">
        <f>H42/B57*100</f>
        <v>195.67901234567901</v>
      </c>
    </row>
    <row r="54" spans="1:14" x14ac:dyDescent="0.25">
      <c r="A54" s="36" t="s">
        <v>54</v>
      </c>
      <c r="B54" s="36">
        <v>150</v>
      </c>
      <c r="C54" s="28"/>
      <c r="D54" s="37" t="s">
        <v>66</v>
      </c>
      <c r="E54" s="34"/>
    </row>
    <row r="55" spans="1:14" x14ac:dyDescent="0.25">
      <c r="A55" s="36" t="s">
        <v>56</v>
      </c>
      <c r="B55" s="36">
        <v>120</v>
      </c>
      <c r="C55" s="28"/>
      <c r="D55" s="33" t="s">
        <v>59</v>
      </c>
      <c r="E55" s="34">
        <f>H47/C73</f>
        <v>1.9217330538085255</v>
      </c>
    </row>
    <row r="56" spans="1:14" x14ac:dyDescent="0.25">
      <c r="A56" s="36" t="s">
        <v>58</v>
      </c>
      <c r="B56" s="36">
        <v>410</v>
      </c>
      <c r="C56" s="28"/>
      <c r="D56" s="33" t="s">
        <v>61</v>
      </c>
      <c r="E56" s="34">
        <f>C73/H47</f>
        <v>0.52036363636363636</v>
      </c>
    </row>
    <row r="57" spans="1:14" x14ac:dyDescent="0.25">
      <c r="A57" s="36" t="s">
        <v>67</v>
      </c>
      <c r="B57" s="36">
        <v>1620</v>
      </c>
      <c r="C57" s="28"/>
      <c r="D57" s="33" t="s">
        <v>62</v>
      </c>
      <c r="E57" s="34">
        <f>C73/C75*1000</f>
        <v>325.39675020133592</v>
      </c>
    </row>
    <row r="58" spans="1:14" x14ac:dyDescent="0.25">
      <c r="A58" s="36" t="s">
        <v>68</v>
      </c>
      <c r="B58" s="36">
        <v>130</v>
      </c>
      <c r="C58" s="28"/>
      <c r="D58" s="33" t="s">
        <v>63</v>
      </c>
      <c r="E58" s="34">
        <f>(C73-C74)/C75*1000</f>
        <v>299.90051636742623</v>
      </c>
    </row>
    <row r="59" spans="1:14" x14ac:dyDescent="0.25">
      <c r="A59" s="36" t="s">
        <v>69</v>
      </c>
      <c r="B59" s="36">
        <v>5555</v>
      </c>
      <c r="C59" s="28"/>
      <c r="D59" s="33" t="s">
        <v>64</v>
      </c>
      <c r="E59" s="34">
        <f>H47/(B57*(1+(B73/100)))*100</f>
        <v>192.17330538085255</v>
      </c>
      <c r="F59" s="38"/>
      <c r="G59" s="38"/>
      <c r="H59" s="38"/>
      <c r="I59" s="38"/>
      <c r="J59" s="38"/>
      <c r="K59" s="38"/>
      <c r="L59" s="38"/>
      <c r="M59" s="38"/>
      <c r="N59" s="38"/>
    </row>
    <row r="60" spans="1:14" x14ac:dyDescent="0.25">
      <c r="A60" s="35" t="s">
        <v>70</v>
      </c>
      <c r="B60" s="35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1:14" x14ac:dyDescent="0.25">
      <c r="A61" s="36" t="s">
        <v>52</v>
      </c>
      <c r="B61" s="36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1:14" x14ac:dyDescent="0.25">
      <c r="A62" s="36" t="s">
        <v>54</v>
      </c>
      <c r="B62" s="36">
        <v>4200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1:14" x14ac:dyDescent="0.25">
      <c r="A63" s="36" t="s">
        <v>56</v>
      </c>
      <c r="B63" s="36">
        <v>2600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1:14" x14ac:dyDescent="0.25">
      <c r="A64" s="36" t="s">
        <v>58</v>
      </c>
      <c r="B64" s="36">
        <v>4300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 spans="1:14" x14ac:dyDescent="0.25">
      <c r="A65" s="36" t="s">
        <v>60</v>
      </c>
      <c r="B65" s="36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1:14" x14ac:dyDescent="0.25">
      <c r="A66" s="36" t="s">
        <v>54</v>
      </c>
      <c r="B66" s="36">
        <v>230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7" spans="1:14" x14ac:dyDescent="0.25">
      <c r="A67" s="36" t="s">
        <v>56</v>
      </c>
      <c r="B67" s="36">
        <v>170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 spans="1:14" x14ac:dyDescent="0.25">
      <c r="A68" s="36" t="s">
        <v>58</v>
      </c>
      <c r="B68" s="36">
        <v>440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 spans="1:14" x14ac:dyDescent="0.25">
      <c r="A69" s="36" t="s">
        <v>65</v>
      </c>
      <c r="B69" s="36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</row>
    <row r="70" spans="1:14" x14ac:dyDescent="0.25">
      <c r="A70" s="36" t="s">
        <v>54</v>
      </c>
      <c r="B70" s="36">
        <v>200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</row>
    <row r="71" spans="1:14" x14ac:dyDescent="0.25">
      <c r="A71" s="36" t="s">
        <v>56</v>
      </c>
      <c r="B71" s="36">
        <v>100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</row>
    <row r="72" spans="1:14" x14ac:dyDescent="0.25">
      <c r="A72" s="36" t="s">
        <v>58</v>
      </c>
      <c r="B72" s="36">
        <v>360</v>
      </c>
      <c r="C72" s="28"/>
    </row>
    <row r="73" spans="1:14" x14ac:dyDescent="0.25">
      <c r="A73" s="36" t="s">
        <v>71</v>
      </c>
      <c r="B73" s="36">
        <v>6</v>
      </c>
      <c r="C73" s="39">
        <f>B57*(1+(B73/100))</f>
        <v>1717.2</v>
      </c>
    </row>
    <row r="74" spans="1:14" x14ac:dyDescent="0.25">
      <c r="A74" s="36" t="s">
        <v>72</v>
      </c>
      <c r="B74" s="36">
        <v>3.5</v>
      </c>
      <c r="C74" s="28">
        <f>B58*(1+(B74/100))</f>
        <v>134.54999999999998</v>
      </c>
    </row>
    <row r="75" spans="1:14" x14ac:dyDescent="0.25">
      <c r="A75" s="36" t="s">
        <v>73</v>
      </c>
      <c r="B75" s="36">
        <v>5</v>
      </c>
      <c r="C75" s="28">
        <f>B59*(1-(B75/100))</f>
        <v>5277.25</v>
      </c>
    </row>
    <row r="80" spans="1:14" ht="18.75" x14ac:dyDescent="0.3">
      <c r="A80" s="40" t="s">
        <v>76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</row>
    <row r="81" spans="1:11" ht="15.75" x14ac:dyDescent="0.25">
      <c r="A81" s="29" t="s">
        <v>77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</row>
    <row r="82" spans="1:11" x14ac:dyDescent="0.25">
      <c r="A82" s="57" t="s">
        <v>27</v>
      </c>
      <c r="B82" s="54" t="s">
        <v>28</v>
      </c>
    </row>
    <row r="83" spans="1:11" x14ac:dyDescent="0.25">
      <c r="A83" s="57"/>
      <c r="B83" s="45">
        <v>5</v>
      </c>
    </row>
    <row r="84" spans="1:11" x14ac:dyDescent="0.25">
      <c r="A84" s="46" t="s">
        <v>78</v>
      </c>
      <c r="B84" s="47">
        <v>215</v>
      </c>
    </row>
    <row r="85" spans="1:11" x14ac:dyDescent="0.25">
      <c r="A85" s="46" t="s">
        <v>79</v>
      </c>
      <c r="B85" s="47">
        <v>32</v>
      </c>
    </row>
    <row r="86" spans="1:11" x14ac:dyDescent="0.25">
      <c r="A86" s="46" t="s">
        <v>80</v>
      </c>
      <c r="B86" s="47">
        <v>25</v>
      </c>
    </row>
    <row r="87" spans="1:11" x14ac:dyDescent="0.25">
      <c r="A87" s="46" t="s">
        <v>81</v>
      </c>
      <c r="B87" s="47">
        <v>180</v>
      </c>
    </row>
    <row r="88" spans="1:11" x14ac:dyDescent="0.25">
      <c r="A88" s="49" t="s">
        <v>82</v>
      </c>
      <c r="B88" s="51">
        <f>B86*B87/B84</f>
        <v>20.930232558139537</v>
      </c>
    </row>
    <row r="89" spans="1:11" x14ac:dyDescent="0.25">
      <c r="A89" s="49" t="s">
        <v>83</v>
      </c>
      <c r="B89" s="51">
        <f>B86*B87/B85</f>
        <v>140.625</v>
      </c>
    </row>
    <row r="90" spans="1:11" x14ac:dyDescent="0.25">
      <c r="A90" s="50" t="s">
        <v>84</v>
      </c>
      <c r="B90" s="51">
        <f>B89-B88</f>
        <v>119.69476744186046</v>
      </c>
    </row>
    <row r="92" spans="1:11" ht="15.75" x14ac:dyDescent="0.25">
      <c r="A92" s="29" t="s">
        <v>85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</row>
    <row r="93" spans="1:11" x14ac:dyDescent="0.25">
      <c r="A93" s="57" t="s">
        <v>27</v>
      </c>
      <c r="B93" s="54" t="s">
        <v>28</v>
      </c>
    </row>
    <row r="94" spans="1:11" x14ac:dyDescent="0.25">
      <c r="A94" s="57"/>
      <c r="B94" s="45">
        <v>5</v>
      </c>
    </row>
    <row r="95" spans="1:11" x14ac:dyDescent="0.25">
      <c r="A95" s="46" t="s">
        <v>86</v>
      </c>
      <c r="B95" s="47">
        <v>900</v>
      </c>
    </row>
    <row r="96" spans="1:11" x14ac:dyDescent="0.25">
      <c r="A96" s="46" t="s">
        <v>87</v>
      </c>
      <c r="B96" s="47">
        <v>107</v>
      </c>
    </row>
    <row r="97" spans="1:2" x14ac:dyDescent="0.25">
      <c r="A97" s="46" t="s">
        <v>81</v>
      </c>
      <c r="B97" s="47">
        <v>360</v>
      </c>
    </row>
    <row r="98" spans="1:2" x14ac:dyDescent="0.25">
      <c r="A98" s="49" t="s">
        <v>88</v>
      </c>
      <c r="B98" s="51">
        <f>B95/B96</f>
        <v>8.4112149532710276</v>
      </c>
    </row>
    <row r="99" spans="1:2" x14ac:dyDescent="0.25">
      <c r="A99" s="53" t="s">
        <v>89</v>
      </c>
      <c r="B99" s="52">
        <v>12</v>
      </c>
    </row>
    <row r="100" spans="1:2" x14ac:dyDescent="0.25">
      <c r="A100" s="49" t="s">
        <v>90</v>
      </c>
      <c r="B100" s="51">
        <f>B97/B98</f>
        <v>42.800000000000004</v>
      </c>
    </row>
    <row r="101" spans="1:2" x14ac:dyDescent="0.25">
      <c r="A101" s="49" t="s">
        <v>91</v>
      </c>
      <c r="B101" s="51">
        <f>B97/B99</f>
        <v>30</v>
      </c>
    </row>
    <row r="102" spans="1:2" x14ac:dyDescent="0.25">
      <c r="A102" s="50" t="s">
        <v>92</v>
      </c>
      <c r="B102" s="51">
        <f>B95/B99</f>
        <v>75</v>
      </c>
    </row>
    <row r="103" spans="1:2" x14ac:dyDescent="0.25">
      <c r="A103" s="50" t="s">
        <v>93</v>
      </c>
      <c r="B103" s="51">
        <f>B102-B96</f>
        <v>-32</v>
      </c>
    </row>
  </sheetData>
  <mergeCells count="20">
    <mergeCell ref="A93:A94"/>
    <mergeCell ref="A42:A43"/>
    <mergeCell ref="O2:O3"/>
    <mergeCell ref="N2:N3"/>
    <mergeCell ref="A82:A83"/>
    <mergeCell ref="A18:A19"/>
    <mergeCell ref="A2:A3"/>
    <mergeCell ref="B2:B3"/>
    <mergeCell ref="C2:C3"/>
    <mergeCell ref="D2:D3"/>
    <mergeCell ref="E2:E3"/>
    <mergeCell ref="F2:F3"/>
    <mergeCell ref="P2:P3"/>
    <mergeCell ref="J2:J3"/>
    <mergeCell ref="K2:K3"/>
    <mergeCell ref="L2:L3"/>
    <mergeCell ref="G2:G3"/>
    <mergeCell ref="H2:H3"/>
    <mergeCell ref="I2:I3"/>
    <mergeCell ref="M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Васильев</dc:creator>
  <cp:lastModifiedBy>Владислав Васильев</cp:lastModifiedBy>
  <dcterms:created xsi:type="dcterms:W3CDTF">2015-06-05T18:19:34Z</dcterms:created>
  <dcterms:modified xsi:type="dcterms:W3CDTF">2026-02-27T09:27:18Z</dcterms:modified>
</cp:coreProperties>
</file>