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3 курс 2 семестр\Экономика IT\Готовые лабораторные\"/>
    </mc:Choice>
  </mc:AlternateContent>
  <xr:revisionPtr revIDLastSave="0" documentId="13_ncr:1_{F9DEE695-C546-4863-AD15-18E91F082A3B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Задание исх данные, решение 1" sheetId="1" r:id="rId1"/>
    <sheet name="Порядок работы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78" i="1"/>
  <c r="B99" i="1"/>
  <c r="B95" i="1"/>
  <c r="K57" i="1"/>
  <c r="E60" i="1" s="1"/>
  <c r="B81" i="1"/>
  <c r="F91" i="1"/>
  <c r="F89" i="1"/>
  <c r="F90" i="1"/>
  <c r="G88" i="1"/>
  <c r="F88" i="1" l="1"/>
  <c r="F60" i="1"/>
  <c r="G60" i="1" s="1"/>
  <c r="B52" i="1"/>
  <c r="B18" i="1"/>
  <c r="B14" i="1"/>
  <c r="G89" i="1"/>
  <c r="G90" i="1"/>
  <c r="E91" i="1"/>
  <c r="E89" i="1"/>
  <c r="E90" i="1"/>
  <c r="E88" i="1"/>
  <c r="D91" i="1"/>
  <c r="D89" i="1"/>
  <c r="D90" i="1"/>
  <c r="D88" i="1"/>
  <c r="C90" i="1"/>
  <c r="C89" i="1"/>
  <c r="C88" i="1"/>
  <c r="B91" i="1"/>
  <c r="B90" i="1"/>
  <c r="B89" i="1"/>
  <c r="B88" i="1"/>
  <c r="D68" i="1"/>
  <c r="C66" i="1"/>
  <c r="D65" i="1"/>
  <c r="D64" i="1"/>
  <c r="D66" i="1" s="1"/>
  <c r="D61" i="1"/>
  <c r="C69" i="1"/>
  <c r="C70" i="1" s="1"/>
  <c r="C68" i="1"/>
  <c r="C65" i="1"/>
  <c r="C64" i="1"/>
  <c r="C61" i="1"/>
  <c r="C60" i="1"/>
  <c r="C62" i="1" s="1"/>
  <c r="C71" i="1" s="1"/>
  <c r="B69" i="1"/>
  <c r="B68" i="1"/>
  <c r="B65" i="1"/>
  <c r="B64" i="1"/>
  <c r="B61" i="1"/>
  <c r="B60" i="1"/>
  <c r="G91" i="1" l="1"/>
  <c r="D69" i="1"/>
  <c r="D60" i="1"/>
  <c r="B8" i="1"/>
  <c r="B9" i="1"/>
  <c r="D62" i="1" l="1"/>
  <c r="E69" i="1"/>
  <c r="D70" i="1"/>
  <c r="E61" i="1" l="1"/>
  <c r="E65" i="1"/>
  <c r="E64" i="1"/>
  <c r="E68" i="1"/>
  <c r="E70" i="1" s="1"/>
  <c r="D71" i="1"/>
  <c r="E62" i="1"/>
  <c r="B17" i="1"/>
  <c r="D81" i="1"/>
  <c r="C81" i="1"/>
  <c r="F69" i="1" l="1"/>
  <c r="F68" i="1"/>
  <c r="F65" i="1"/>
  <c r="F64" i="1"/>
  <c r="F61" i="1"/>
  <c r="E66" i="1"/>
  <c r="E71" i="1" s="1"/>
  <c r="B96" i="1" l="1"/>
  <c r="B100" i="1" s="1"/>
  <c r="B101" i="1" s="1"/>
  <c r="F62" i="1"/>
  <c r="G64" i="1"/>
  <c r="F66" i="1"/>
  <c r="G61" i="1"/>
  <c r="F70" i="1"/>
  <c r="I52" i="1"/>
  <c r="G62" i="1" s="1"/>
  <c r="G52" i="1"/>
  <c r="G65" i="1" s="1"/>
  <c r="C52" i="1"/>
  <c r="G68" i="1" s="1"/>
  <c r="F52" i="1"/>
  <c r="H52" i="1"/>
  <c r="D52" i="1"/>
  <c r="E52" i="1"/>
  <c r="B76" i="1" l="1"/>
  <c r="G69" i="1"/>
  <c r="G70" i="1" s="1"/>
  <c r="D76" i="1" s="1"/>
  <c r="F71" i="1"/>
  <c r="G66" i="1"/>
  <c r="C76" i="1" s="1"/>
  <c r="D78" i="1" l="1"/>
  <c r="D77" i="1"/>
  <c r="D80" i="1"/>
  <c r="C78" i="1"/>
  <c r="C77" i="1"/>
  <c r="C80" i="1" s="1"/>
  <c r="B77" i="1"/>
  <c r="G71" i="1"/>
  <c r="C82" i="1" l="1"/>
  <c r="C83" i="1"/>
  <c r="D82" i="1"/>
  <c r="D83" i="1"/>
  <c r="B80" i="1"/>
  <c r="B82" i="1" s="1"/>
  <c r="B83" i="1" s="1"/>
  <c r="B97" i="1" s="1"/>
  <c r="B98" i="1" s="1"/>
</calcChain>
</file>

<file path=xl/sharedStrings.xml><?xml version="1.0" encoding="utf-8"?>
<sst xmlns="http://schemas.openxmlformats.org/spreadsheetml/2006/main" count="131" uniqueCount="114">
  <si>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</si>
  <si>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</si>
  <si>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</si>
  <si>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</si>
  <si>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</si>
  <si>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</si>
  <si>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</si>
  <si>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</si>
  <si>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Таблица 1. Баланс рабочего времени одного среднесписочного рабочего</t>
  </si>
  <si>
    <t>Разряд</t>
  </si>
  <si>
    <t>Часовая тарифная ставка, руб.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</si>
  <si>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</si>
  <si>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</si>
  <si>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</si>
  <si>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</si>
  <si>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</si>
  <si>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</si>
  <si>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</si>
  <si>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</si>
  <si>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</si>
  <si>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</si>
  <si>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</si>
  <si>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</si>
  <si>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</si>
  <si>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</si>
  <si>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</si>
  <si>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</si>
  <si>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</si>
  <si>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</si>
  <si>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</si>
  <si>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</si>
  <si>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</si>
  <si>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</si>
  <si>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</si>
  <si>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</si>
  <si>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</si>
  <si>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</si>
  <si>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</si>
  <si>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</si>
  <si>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</si>
  <si>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</si>
  <si>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</si>
  <si>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</si>
  <si>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</si>
  <si>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</si>
  <si>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</si>
  <si>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</si>
  <si>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</si>
  <si>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</si>
  <si>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</si>
  <si>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</si>
  <si>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</si>
  <si>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</si>
  <si>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</si>
  <si>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</si>
  <si>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</si>
  <si>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</si>
  <si>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</si>
  <si>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</si>
  <si>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</si>
  <si>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</si>
  <si>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</si>
  <si>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</si>
  <si>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</si>
  <si>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</si>
  <si>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</si>
  <si>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</si>
  <si>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</si>
  <si>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</si>
  <si>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</si>
  <si>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</si>
  <si>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</si>
  <si>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</si>
  <si>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</si>
  <si>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</si>
  <si>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</si>
  <si>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</si>
  <si>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</si>
  <si>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</si>
  <si>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</si>
  <si>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</si>
  <si>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</si>
  <si>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</si>
  <si>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</si>
  <si>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</si>
  <si>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</si>
  <si>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</si>
  <si>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</si>
  <si>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</si>
  <si>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</si>
  <si>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Доплаты за вечернее время = Годовой тарифный фонд / 3 * 20/100</t>
  </si>
  <si>
    <t>Доплаты за вночное время = Годовой тарифный фонд / 3 * 40/101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</si>
  <si>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</si>
  <si>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</si>
  <si>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</si>
  <si>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</si>
  <si>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</si>
  <si>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</si>
  <si>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</si>
  <si>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</si>
  <si>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</si>
  <si>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</si>
  <si>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</si>
  <si>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 xml:space="preserve"> </t>
  </si>
  <si>
    <t>Ксп</t>
  </si>
  <si>
    <t xml:space="preserve">3. Номинальный фонд рабочего времени, дней  </t>
  </si>
  <si>
    <t xml:space="preserve">5. Эффективный фонд времени в днях </t>
  </si>
  <si>
    <t xml:space="preserve">6. Число рабочих часов в году </t>
  </si>
  <si>
    <t xml:space="preserve">8. Эффективный фонд рабочего времени, ч </t>
  </si>
  <si>
    <t xml:space="preserve">9. Эффективный фонд рабочего времени в среднем за месяц, ч </t>
  </si>
  <si>
    <t xml:space="preserve">5. Итого основная заработная плата </t>
  </si>
  <si>
    <t xml:space="preserve">Доп. з/п </t>
  </si>
  <si>
    <t xml:space="preserve">Всего </t>
  </si>
  <si>
    <t xml:space="preserve">3. Доплаты за работу в вечернее время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</si>
</sst>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1" fontId="0" fillId="0" borderId="1" xfId="0" applyNumberForma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topLeftCell="A85" zoomScale="129" zoomScaleNormal="100" workbookViewId="0">
      <selection activeCell="B100" sqref="B100"/>
    </sheetView>
  </sheetViews>
  <sheetFormatPr defaultColWidth="8.85546875" defaultRowHeight="15" x14ac:dyDescent="0.25"/>
  <cols>
    <col min="1" max="1" width="59.5703125" customWidth="1"/>
    <col min="2" max="2" width="12.42578125" bestFit="1" customWidth="1"/>
    <col min="3" max="3" width="11" customWidth="1"/>
    <col min="4" max="4" width="10.7109375" customWidth="1"/>
    <col min="5" max="5" width="12.42578125" bestFit="1" customWidth="1"/>
    <col min="6" max="6" width="14" customWidth="1"/>
    <col min="7" max="7" width="11.28515625" customWidth="1"/>
    <col min="8" max="8" width="9.7109375" customWidth="1"/>
    <col min="9" max="9" width="10.140625" customWidth="1"/>
  </cols>
  <sheetData>
    <row r="1" spans="1:11" ht="18.75" x14ac:dyDescent="0.3">
      <c r="A1" s="1" t="s">
        <v>75</v>
      </c>
    </row>
    <row r="3" spans="1:11" ht="15.75" x14ac:dyDescent="0.25">
      <c r="A3" s="78" t="s">
        <v>8</v>
      </c>
      <c r="B3" s="79"/>
      <c r="C3" s="79"/>
      <c r="D3" s="79"/>
      <c r="E3" s="79"/>
      <c r="F3" s="79"/>
      <c r="G3" s="79"/>
      <c r="H3" s="79"/>
      <c r="I3" s="79"/>
      <c r="J3" s="79"/>
      <c r="K3" s="80"/>
    </row>
    <row r="4" spans="1:11" ht="15" customHeight="1" x14ac:dyDescent="0.25">
      <c r="A4" s="4" t="s">
        <v>0</v>
      </c>
      <c r="B4" s="4" t="s">
        <v>1</v>
      </c>
    </row>
    <row r="5" spans="1:11" ht="15.75" x14ac:dyDescent="0.25">
      <c r="A5" s="4"/>
      <c r="B5" s="53">
        <v>5</v>
      </c>
    </row>
    <row r="6" spans="1:11" ht="18.75" customHeight="1" x14ac:dyDescent="0.25">
      <c r="A6" s="3" t="s">
        <v>2</v>
      </c>
      <c r="B6" s="7">
        <v>365</v>
      </c>
    </row>
    <row r="7" spans="1:11" ht="17.850000000000001" customHeight="1" x14ac:dyDescent="0.25">
      <c r="A7" s="3" t="s">
        <v>3</v>
      </c>
      <c r="B7" s="7">
        <v>109</v>
      </c>
    </row>
    <row r="8" spans="1:11" ht="14.65" customHeight="1" x14ac:dyDescent="0.25">
      <c r="A8" s="3" t="s">
        <v>105</v>
      </c>
      <c r="B8" s="8">
        <f>B6-B7</f>
        <v>256</v>
      </c>
    </row>
    <row r="9" spans="1:11" ht="15" customHeight="1" x14ac:dyDescent="0.25">
      <c r="A9" s="3" t="s">
        <v>35</v>
      </c>
      <c r="B9" s="8">
        <f>SUM(B10:B13)</f>
        <v>40</v>
      </c>
    </row>
    <row r="10" spans="1:11" ht="16.7" customHeight="1" x14ac:dyDescent="0.25">
      <c r="A10" s="20" t="s">
        <v>4</v>
      </c>
      <c r="B10" s="9">
        <v>32</v>
      </c>
    </row>
    <row r="11" spans="1:11" ht="19.899999999999999" customHeight="1" x14ac:dyDescent="0.25">
      <c r="A11" s="20" t="s">
        <v>5</v>
      </c>
      <c r="B11" s="9">
        <v>3</v>
      </c>
    </row>
    <row r="12" spans="1:11" ht="14.65" customHeight="1" x14ac:dyDescent="0.25">
      <c r="A12" s="20" t="s">
        <v>6</v>
      </c>
      <c r="B12" s="9">
        <v>2</v>
      </c>
    </row>
    <row r="13" spans="1:11" ht="32.25" customHeight="1" x14ac:dyDescent="0.25">
      <c r="A13" s="20" t="s">
        <v>7</v>
      </c>
      <c r="B13" s="7">
        <v>3</v>
      </c>
    </row>
    <row r="14" spans="1:11" ht="17.25" customHeight="1" x14ac:dyDescent="0.25">
      <c r="A14" s="3" t="s">
        <v>106</v>
      </c>
      <c r="B14" s="8">
        <f>B8-B9</f>
        <v>216</v>
      </c>
    </row>
    <row r="15" spans="1:11" ht="29.65" customHeight="1" x14ac:dyDescent="0.25">
      <c r="A15" s="3" t="s">
        <v>107</v>
      </c>
      <c r="B15" s="8">
        <f>B14*8</f>
        <v>1728</v>
      </c>
    </row>
    <row r="16" spans="1:11" ht="15.75" x14ac:dyDescent="0.25">
      <c r="A16" s="3" t="s">
        <v>76</v>
      </c>
      <c r="B16" s="7">
        <v>15</v>
      </c>
    </row>
    <row r="17" spans="1:11" ht="19.350000000000001" customHeight="1" x14ac:dyDescent="0.25">
      <c r="A17" s="3" t="s">
        <v>108</v>
      </c>
      <c r="B17" s="8">
        <f>B15-B16</f>
        <v>1713</v>
      </c>
    </row>
    <row r="18" spans="1:11" ht="29.1" customHeight="1" x14ac:dyDescent="0.25">
      <c r="A18" s="3" t="s">
        <v>109</v>
      </c>
      <c r="B18" s="6">
        <f>B17/12</f>
        <v>142.75</v>
      </c>
    </row>
    <row r="20" spans="1:11" ht="15.75" x14ac:dyDescent="0.25">
      <c r="A20" s="81" t="s">
        <v>39</v>
      </c>
      <c r="B20" s="81"/>
      <c r="C20" s="81"/>
      <c r="D20" s="81"/>
      <c r="E20" s="81"/>
      <c r="F20" s="81"/>
      <c r="G20" s="81"/>
      <c r="H20" s="81"/>
    </row>
    <row r="21" spans="1:11" ht="15.75" x14ac:dyDescent="0.25">
      <c r="A21" s="4" t="s">
        <v>0</v>
      </c>
      <c r="B21" s="73" t="s">
        <v>103</v>
      </c>
      <c r="C21" s="74"/>
      <c r="D21" s="74"/>
      <c r="E21" s="74"/>
      <c r="F21" s="74"/>
      <c r="G21" s="74"/>
      <c r="H21" s="74"/>
      <c r="I21" s="74"/>
      <c r="J21" s="74"/>
      <c r="K21" s="75"/>
    </row>
    <row r="22" spans="1:11" ht="15.75" x14ac:dyDescent="0.25">
      <c r="A22" s="4"/>
      <c r="B22" s="53">
        <v>5</v>
      </c>
    </row>
    <row r="23" spans="1:11" ht="15.75" x14ac:dyDescent="0.25">
      <c r="A23" s="3" t="s">
        <v>38</v>
      </c>
      <c r="B23" s="7">
        <v>500</v>
      </c>
    </row>
    <row r="24" spans="1:11" ht="15.75" x14ac:dyDescent="0.25">
      <c r="A24" s="3" t="s">
        <v>55</v>
      </c>
      <c r="B24" s="7">
        <v>45</v>
      </c>
    </row>
    <row r="25" spans="1:11" ht="15.75" x14ac:dyDescent="0.25">
      <c r="A25" s="3" t="s">
        <v>40</v>
      </c>
      <c r="B25" s="7">
        <v>2</v>
      </c>
    </row>
    <row r="26" spans="1:11" ht="31.5" x14ac:dyDescent="0.25">
      <c r="A26" s="3" t="s">
        <v>68</v>
      </c>
      <c r="B26" s="7">
        <v>38420</v>
      </c>
    </row>
    <row r="27" spans="1:11" ht="15.75" x14ac:dyDescent="0.25">
      <c r="A27" s="11" t="s">
        <v>46</v>
      </c>
      <c r="B27" s="16"/>
    </row>
    <row r="28" spans="1:11" ht="15.75" x14ac:dyDescent="0.25">
      <c r="A28" s="18" t="s">
        <v>51</v>
      </c>
      <c r="B28" s="19">
        <v>2</v>
      </c>
    </row>
    <row r="29" spans="1:11" ht="15.75" x14ac:dyDescent="0.25">
      <c r="A29" s="18" t="s">
        <v>47</v>
      </c>
      <c r="B29" s="19">
        <v>3</v>
      </c>
    </row>
    <row r="30" spans="1:11" ht="15.75" x14ac:dyDescent="0.25">
      <c r="A30" s="20" t="s">
        <v>52</v>
      </c>
      <c r="B30" s="19">
        <v>2</v>
      </c>
    </row>
    <row r="31" spans="1:11" ht="15.75" x14ac:dyDescent="0.25">
      <c r="A31" s="20" t="s">
        <v>48</v>
      </c>
      <c r="B31" s="19">
        <v>2</v>
      </c>
    </row>
    <row r="32" spans="1:11" ht="15.75" x14ac:dyDescent="0.25">
      <c r="A32" s="20" t="s">
        <v>49</v>
      </c>
      <c r="B32" s="19">
        <v>3</v>
      </c>
    </row>
    <row r="33" spans="1:3" ht="15.75" x14ac:dyDescent="0.25">
      <c r="A33" s="18" t="s">
        <v>50</v>
      </c>
      <c r="B33" s="19">
        <v>3</v>
      </c>
    </row>
    <row r="34" spans="1:3" ht="15.75" x14ac:dyDescent="0.25">
      <c r="A34" s="22" t="s">
        <v>53</v>
      </c>
      <c r="B34" s="21"/>
    </row>
    <row r="35" spans="1:3" ht="15.75" x14ac:dyDescent="0.25">
      <c r="A35" s="18" t="s">
        <v>51</v>
      </c>
      <c r="B35" s="21">
        <v>8</v>
      </c>
    </row>
    <row r="36" spans="1:3" ht="15.75" x14ac:dyDescent="0.25">
      <c r="A36" s="18" t="s">
        <v>47</v>
      </c>
      <c r="B36" s="21">
        <v>3</v>
      </c>
    </row>
    <row r="37" spans="1:3" ht="15.75" x14ac:dyDescent="0.25">
      <c r="A37" s="20" t="s">
        <v>52</v>
      </c>
      <c r="B37" s="21">
        <v>5</v>
      </c>
    </row>
    <row r="38" spans="1:3" ht="15.75" x14ac:dyDescent="0.25">
      <c r="A38" s="20" t="s">
        <v>48</v>
      </c>
      <c r="B38" s="21">
        <v>6</v>
      </c>
    </row>
    <row r="39" spans="1:3" ht="15.75" x14ac:dyDescent="0.25">
      <c r="A39" s="20" t="s">
        <v>49</v>
      </c>
      <c r="B39" s="21">
        <v>2</v>
      </c>
    </row>
    <row r="40" spans="1:3" ht="15.75" x14ac:dyDescent="0.25">
      <c r="A40" s="18" t="s">
        <v>50</v>
      </c>
      <c r="B40" s="21">
        <v>2</v>
      </c>
    </row>
    <row r="41" spans="1:3" ht="15.75" x14ac:dyDescent="0.25">
      <c r="A41" s="47" t="s">
        <v>63</v>
      </c>
      <c r="B41" s="19"/>
    </row>
    <row r="42" spans="1:3" ht="15.75" x14ac:dyDescent="0.25">
      <c r="A42" s="20" t="s">
        <v>64</v>
      </c>
      <c r="B42" s="19">
        <v>1</v>
      </c>
    </row>
    <row r="43" spans="1:3" ht="15.75" x14ac:dyDescent="0.25">
      <c r="A43" s="20" t="s">
        <v>32</v>
      </c>
      <c r="B43" s="19">
        <v>2</v>
      </c>
    </row>
    <row r="44" spans="1:3" ht="15.75" x14ac:dyDescent="0.25">
      <c r="A44" s="20" t="s">
        <v>33</v>
      </c>
      <c r="B44" s="19">
        <v>3</v>
      </c>
      <c r="C44" s="23"/>
    </row>
    <row r="45" spans="1:3" ht="15.75" x14ac:dyDescent="0.25">
      <c r="A45" s="48" t="s">
        <v>61</v>
      </c>
      <c r="B45" s="19"/>
    </row>
    <row r="46" spans="1:3" ht="15.75" x14ac:dyDescent="0.25">
      <c r="A46" s="20" t="s">
        <v>31</v>
      </c>
      <c r="B46" s="19">
        <v>2180</v>
      </c>
    </row>
    <row r="47" spans="1:3" ht="15.75" x14ac:dyDescent="0.25">
      <c r="A47" s="20" t="s">
        <v>32</v>
      </c>
      <c r="B47" s="19">
        <v>1800</v>
      </c>
    </row>
    <row r="48" spans="1:3" ht="15.75" x14ac:dyDescent="0.25">
      <c r="A48" s="20" t="s">
        <v>33</v>
      </c>
      <c r="B48" s="19">
        <v>1750</v>
      </c>
    </row>
    <row r="49" spans="1:11" ht="15.75" x14ac:dyDescent="0.25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75" x14ac:dyDescent="0.25">
      <c r="A50" s="81" t="s">
        <v>36</v>
      </c>
      <c r="B50" s="81"/>
      <c r="C50" s="81"/>
      <c r="D50" s="81"/>
      <c r="E50" s="81"/>
      <c r="F50" s="81"/>
      <c r="G50" s="81"/>
      <c r="H50" s="81"/>
    </row>
    <row r="51" spans="1:11" ht="15.75" x14ac:dyDescent="0.25">
      <c r="A51" s="11" t="s">
        <v>9</v>
      </c>
      <c r="B51" s="12">
        <v>1</v>
      </c>
      <c r="C51" s="12">
        <v>2</v>
      </c>
      <c r="D51" s="12">
        <v>3</v>
      </c>
      <c r="E51" s="12">
        <v>4</v>
      </c>
      <c r="F51" s="12">
        <v>5</v>
      </c>
      <c r="G51" s="12">
        <v>6</v>
      </c>
      <c r="H51" s="12">
        <v>7</v>
      </c>
      <c r="I51" s="12">
        <v>8</v>
      </c>
    </row>
    <row r="52" spans="1:11" ht="15.75" x14ac:dyDescent="0.25">
      <c r="A52" s="11" t="s">
        <v>10</v>
      </c>
      <c r="B52" s="17">
        <f>$B$23/$B$18*B53</f>
        <v>3.5026269702276709</v>
      </c>
      <c r="C52" s="17">
        <f t="shared" ref="C52:H52" si="0">$B$23/$B$18*C53</f>
        <v>4.0630472854640978</v>
      </c>
      <c r="D52" s="17">
        <f t="shared" si="0"/>
        <v>4.7285464098073557</v>
      </c>
      <c r="E52" s="17">
        <f t="shared" si="0"/>
        <v>5.4991243432574439</v>
      </c>
      <c r="F52" s="17">
        <f t="shared" si="0"/>
        <v>6.0595446584938708</v>
      </c>
      <c r="G52" s="17">
        <f t="shared" si="0"/>
        <v>6.6549912434325744</v>
      </c>
      <c r="H52" s="17">
        <f t="shared" si="0"/>
        <v>7.1103327495621711</v>
      </c>
      <c r="I52" s="17">
        <f>$B$23/$B$18*I53</f>
        <v>7.6007005253940454</v>
      </c>
    </row>
    <row r="53" spans="1:11" ht="15.75" x14ac:dyDescent="0.25">
      <c r="A53" s="11" t="s">
        <v>11</v>
      </c>
      <c r="B53" s="38">
        <v>1</v>
      </c>
      <c r="C53" s="39">
        <v>1.1599999999999999</v>
      </c>
      <c r="D53" s="39">
        <v>1.35</v>
      </c>
      <c r="E53" s="39">
        <v>1.57</v>
      </c>
      <c r="F53" s="39">
        <v>1.73</v>
      </c>
      <c r="G53" s="39">
        <v>1.9</v>
      </c>
      <c r="H53" s="39">
        <v>2.0299999999999998</v>
      </c>
      <c r="I53" s="39">
        <v>2.17</v>
      </c>
    </row>
    <row r="54" spans="1:11" ht="11.85" customHeight="1" x14ac:dyDescent="0.25">
      <c r="A54" s="40"/>
      <c r="B54" s="42"/>
      <c r="C54" s="43"/>
      <c r="D54" s="43"/>
      <c r="E54" s="43"/>
      <c r="F54" s="43"/>
      <c r="G54" s="43"/>
      <c r="H54" s="43"/>
      <c r="I54" s="43"/>
    </row>
    <row r="55" spans="1:11" ht="15.75" x14ac:dyDescent="0.25">
      <c r="A55" s="77" t="s">
        <v>37</v>
      </c>
      <c r="B55" s="77"/>
      <c r="C55" s="77"/>
      <c r="D55" s="77"/>
      <c r="E55" s="77"/>
      <c r="F55" s="77"/>
      <c r="G55" s="77"/>
      <c r="H55" s="77"/>
      <c r="I55" s="77"/>
    </row>
    <row r="56" spans="1:11" ht="32.85" customHeight="1" x14ac:dyDescent="0.25">
      <c r="A56" s="70" t="s">
        <v>12</v>
      </c>
      <c r="B56" s="70" t="s">
        <v>13</v>
      </c>
      <c r="C56" s="70"/>
      <c r="D56" s="70"/>
      <c r="E56" s="70"/>
      <c r="F56" s="70" t="s">
        <v>14</v>
      </c>
      <c r="G56" s="70"/>
      <c r="H56" s="24"/>
      <c r="I56" s="24"/>
    </row>
    <row r="57" spans="1:11" ht="36.6" customHeight="1" x14ac:dyDescent="0.25">
      <c r="A57" s="70"/>
      <c r="B57" s="69" t="s">
        <v>15</v>
      </c>
      <c r="C57" s="70" t="s">
        <v>65</v>
      </c>
      <c r="D57" s="70"/>
      <c r="E57" s="69" t="s">
        <v>16</v>
      </c>
      <c r="F57" s="70" t="s">
        <v>54</v>
      </c>
      <c r="G57" s="70" t="s">
        <v>17</v>
      </c>
      <c r="H57" s="24"/>
      <c r="I57" s="24"/>
      <c r="J57" t="s">
        <v>104</v>
      </c>
      <c r="K57">
        <f>'Задание исх данные, решение 1'!B8/'Задание исх данные, решение 1'!B14</f>
        <v>1.1851851851851851</v>
      </c>
    </row>
    <row r="58" spans="1:11" ht="48.95" customHeight="1" x14ac:dyDescent="0.25">
      <c r="A58" s="70"/>
      <c r="B58" s="69"/>
      <c r="C58" s="41" t="s">
        <v>18</v>
      </c>
      <c r="D58" s="41" t="s">
        <v>19</v>
      </c>
      <c r="E58" s="69"/>
      <c r="F58" s="70"/>
      <c r="G58" s="70"/>
      <c r="H58" s="24"/>
      <c r="I58" s="24"/>
    </row>
    <row r="59" spans="1:11" x14ac:dyDescent="0.25">
      <c r="A59" s="28" t="s">
        <v>20</v>
      </c>
      <c r="B59" s="28"/>
      <c r="C59" s="28"/>
      <c r="D59" s="28"/>
      <c r="E59" s="28"/>
      <c r="F59" s="28"/>
      <c r="G59" s="28"/>
      <c r="H59" s="24"/>
      <c r="I59" s="24"/>
    </row>
    <row r="60" spans="1:11" x14ac:dyDescent="0.25">
      <c r="A60" s="10" t="s">
        <v>34</v>
      </c>
      <c r="B60" s="29">
        <f>B35</f>
        <v>8</v>
      </c>
      <c r="C60" s="29">
        <f>B28</f>
        <v>2</v>
      </c>
      <c r="D60" s="30">
        <f>C60*$B$25</f>
        <v>4</v>
      </c>
      <c r="E60" s="29">
        <f>ROUND(D60*$K$57, 0)</f>
        <v>5</v>
      </c>
      <c r="F60" s="29">
        <f>$B$17*E60</f>
        <v>8565</v>
      </c>
      <c r="G60" s="29">
        <f>F60*I52</f>
        <v>65100</v>
      </c>
      <c r="H60" s="25"/>
      <c r="I60" s="25"/>
    </row>
    <row r="61" spans="1:11" x14ac:dyDescent="0.25">
      <c r="A61" s="10" t="s">
        <v>21</v>
      </c>
      <c r="B61" s="29">
        <f>B36</f>
        <v>3</v>
      </c>
      <c r="C61" s="29">
        <f>B29</f>
        <v>3</v>
      </c>
      <c r="D61" s="30">
        <f t="shared" ref="D61" si="1">C61*$B$25</f>
        <v>6</v>
      </c>
      <c r="E61" s="29">
        <f>ROUND(D61*$K$57, 0)</f>
        <v>7</v>
      </c>
      <c r="F61" s="29">
        <f>$B$17*E61</f>
        <v>11991</v>
      </c>
      <c r="G61" s="29">
        <f>F61*D52</f>
        <v>56700</v>
      </c>
      <c r="H61" s="25"/>
      <c r="I61" s="25"/>
    </row>
    <row r="62" spans="1:11" x14ac:dyDescent="0.25">
      <c r="A62" s="27" t="s">
        <v>22</v>
      </c>
      <c r="B62" s="26"/>
      <c r="C62" s="34">
        <f>SUM(C60:C61)</f>
        <v>5</v>
      </c>
      <c r="D62" s="30">
        <f>SUM(D60:D61)</f>
        <v>10</v>
      </c>
      <c r="E62" s="29">
        <f>SUM(E60:E61)</f>
        <v>12</v>
      </c>
      <c r="F62" s="34">
        <f>SUM(F60:F61)</f>
        <v>20556</v>
      </c>
      <c r="G62" s="34">
        <f>SUM(G60:G61)</f>
        <v>121800</v>
      </c>
      <c r="H62" s="25"/>
      <c r="I62" s="25"/>
    </row>
    <row r="63" spans="1:11" x14ac:dyDescent="0.25">
      <c r="A63" s="28" t="s">
        <v>23</v>
      </c>
      <c r="B63" s="28"/>
      <c r="C63" s="28"/>
      <c r="D63" s="26"/>
      <c r="E63" s="36"/>
      <c r="F63" s="36"/>
      <c r="G63" s="32"/>
      <c r="H63" s="24"/>
      <c r="I63" s="24"/>
    </row>
    <row r="64" spans="1:11" x14ac:dyDescent="0.25">
      <c r="A64" s="27" t="s">
        <v>41</v>
      </c>
      <c r="B64" s="29">
        <f>B37</f>
        <v>5</v>
      </c>
      <c r="C64" s="29">
        <f>B30</f>
        <v>2</v>
      </c>
      <c r="D64" s="30">
        <f>C64*$B$25</f>
        <v>4</v>
      </c>
      <c r="E64" s="29">
        <f>ROUND(D64*$K$57, 0)</f>
        <v>5</v>
      </c>
      <c r="F64" s="29">
        <f>$B$17*E64</f>
        <v>8565</v>
      </c>
      <c r="G64" s="33">
        <f>F64*F52</f>
        <v>51900</v>
      </c>
      <c r="H64" s="25"/>
      <c r="I64" s="31"/>
    </row>
    <row r="65" spans="1:9" x14ac:dyDescent="0.25">
      <c r="A65" s="27" t="s">
        <v>42</v>
      </c>
      <c r="B65" s="29">
        <f>B38</f>
        <v>6</v>
      </c>
      <c r="C65" s="29">
        <f>B31</f>
        <v>2</v>
      </c>
      <c r="D65" s="30">
        <f>C65*$B$25</f>
        <v>4</v>
      </c>
      <c r="E65" s="29">
        <f>ROUND(D65*$K$57, 0)</f>
        <v>5</v>
      </c>
      <c r="F65" s="29">
        <f>$B$17*E65</f>
        <v>8565</v>
      </c>
      <c r="G65" s="33">
        <f>F65*G52</f>
        <v>57000</v>
      </c>
      <c r="H65" s="25"/>
      <c r="I65" s="25"/>
    </row>
    <row r="66" spans="1:9" x14ac:dyDescent="0.25">
      <c r="A66" s="27" t="s">
        <v>22</v>
      </c>
      <c r="B66" s="36"/>
      <c r="C66" s="35">
        <f>SUM(C64:C65)</f>
        <v>4</v>
      </c>
      <c r="D66" s="35">
        <f>SUM(D64:D65)</f>
        <v>8</v>
      </c>
      <c r="E66" s="29">
        <f>SUM(E64:E65)</f>
        <v>10</v>
      </c>
      <c r="F66" s="35">
        <f>SUM(F64:F65)</f>
        <v>17130</v>
      </c>
      <c r="G66" s="35">
        <f>SUM(G64:G65)</f>
        <v>108900</v>
      </c>
      <c r="H66" s="25"/>
      <c r="I66" s="25"/>
    </row>
    <row r="67" spans="1:9" x14ac:dyDescent="0.25">
      <c r="A67" s="28" t="s">
        <v>24</v>
      </c>
      <c r="B67" s="28"/>
      <c r="C67" s="28"/>
      <c r="D67" s="26"/>
      <c r="E67" s="36"/>
      <c r="F67" s="36"/>
      <c r="G67" s="32"/>
      <c r="H67" s="24"/>
      <c r="I67" s="24"/>
    </row>
    <row r="68" spans="1:9" x14ac:dyDescent="0.25">
      <c r="A68" s="27" t="s">
        <v>43</v>
      </c>
      <c r="B68" s="29">
        <f>B39</f>
        <v>2</v>
      </c>
      <c r="C68" s="29">
        <f>B32</f>
        <v>3</v>
      </c>
      <c r="D68" s="30">
        <f>C68*$B$25</f>
        <v>6</v>
      </c>
      <c r="E68" s="29">
        <f>ROUND(D68*$K$57, 0)</f>
        <v>7</v>
      </c>
      <c r="F68" s="29">
        <f>$B$17*E68</f>
        <v>11991</v>
      </c>
      <c r="G68" s="33">
        <f>F68*C52</f>
        <v>48719.999999999993</v>
      </c>
      <c r="H68" s="25"/>
      <c r="I68" s="25"/>
    </row>
    <row r="69" spans="1:9" x14ac:dyDescent="0.25">
      <c r="A69" s="27" t="s">
        <v>44</v>
      </c>
      <c r="B69" s="29">
        <f>B40</f>
        <v>2</v>
      </c>
      <c r="C69" s="29">
        <f>B33</f>
        <v>3</v>
      </c>
      <c r="D69" s="30">
        <f>C69*$B$25</f>
        <v>6</v>
      </c>
      <c r="E69" s="29">
        <f>ROUND(D69*$K$57, 0)</f>
        <v>7</v>
      </c>
      <c r="F69" s="29">
        <f>$B$17*E69</f>
        <v>11991</v>
      </c>
      <c r="G69" s="33">
        <f>F69*C52</f>
        <v>48719.999999999993</v>
      </c>
      <c r="H69" s="25"/>
      <c r="I69" s="25"/>
    </row>
    <row r="70" spans="1:9" x14ac:dyDescent="0.25">
      <c r="A70" s="27" t="s">
        <v>22</v>
      </c>
      <c r="B70" s="26"/>
      <c r="C70" s="34">
        <f>SUM(C68:C69)</f>
        <v>6</v>
      </c>
      <c r="D70" s="34">
        <f>SUM(D68:D69)</f>
        <v>12</v>
      </c>
      <c r="E70" s="34">
        <f>SUM(E68:E69)</f>
        <v>14</v>
      </c>
      <c r="F70" s="34">
        <f>SUM(F68:F69)</f>
        <v>23982</v>
      </c>
      <c r="G70" s="35">
        <f>SUM(G68:G69)</f>
        <v>97439.999999999985</v>
      </c>
      <c r="H70" s="25"/>
      <c r="I70" s="25"/>
    </row>
    <row r="71" spans="1:9" x14ac:dyDescent="0.25">
      <c r="A71" s="27" t="s">
        <v>45</v>
      </c>
      <c r="B71" s="26"/>
      <c r="C71" s="37">
        <f>SUM(C62,C66,C70)</f>
        <v>15</v>
      </c>
      <c r="D71" s="37">
        <f>SUM(D62,D66,D70)</f>
        <v>30</v>
      </c>
      <c r="E71" s="37">
        <f>SUM(E62,E66,E70)</f>
        <v>36</v>
      </c>
      <c r="F71" s="37">
        <f>SUM(F62,F66,F70)</f>
        <v>61668</v>
      </c>
      <c r="G71" s="37">
        <f>SUM(G62,G66,G70)</f>
        <v>328140</v>
      </c>
      <c r="H71" s="25"/>
      <c r="I71" s="25"/>
    </row>
    <row r="73" spans="1:9" ht="15.75" x14ac:dyDescent="0.25">
      <c r="A73" s="76" t="s">
        <v>58</v>
      </c>
      <c r="B73" s="76"/>
      <c r="C73" s="76"/>
      <c r="D73" s="76"/>
    </row>
    <row r="74" spans="1:9" ht="14.65" customHeight="1" x14ac:dyDescent="0.25">
      <c r="A74" s="70" t="s">
        <v>57</v>
      </c>
      <c r="B74" s="73" t="s">
        <v>26</v>
      </c>
      <c r="C74" s="74"/>
      <c r="D74" s="75"/>
      <c r="E74" s="24"/>
      <c r="F74" s="24"/>
    </row>
    <row r="75" spans="1:9" ht="48.4" customHeight="1" x14ac:dyDescent="0.25">
      <c r="A75" s="70"/>
      <c r="B75" s="4" t="s">
        <v>56</v>
      </c>
      <c r="C75" s="4" t="s">
        <v>27</v>
      </c>
      <c r="D75" s="4" t="s">
        <v>28</v>
      </c>
      <c r="E75" s="25"/>
      <c r="F75" s="2"/>
    </row>
    <row r="76" spans="1:9" ht="18.75" x14ac:dyDescent="0.25">
      <c r="A76" s="3" t="s">
        <v>85</v>
      </c>
      <c r="B76" s="8">
        <f>G62</f>
        <v>121800</v>
      </c>
      <c r="C76" s="8">
        <f>G66</f>
        <v>108900</v>
      </c>
      <c r="D76" s="8">
        <f>G70</f>
        <v>97439.999999999985</v>
      </c>
      <c r="E76" s="25"/>
      <c r="F76" s="2"/>
    </row>
    <row r="77" spans="1:9" ht="14.65" customHeight="1" x14ac:dyDescent="0.25">
      <c r="A77" s="3" t="s">
        <v>86</v>
      </c>
      <c r="B77" s="8">
        <f>B76*0.45</f>
        <v>54810</v>
      </c>
      <c r="C77" s="8">
        <f>C76*0.45</f>
        <v>49005</v>
      </c>
      <c r="D77" s="8">
        <f>D76*0.45</f>
        <v>43847.999999999993</v>
      </c>
      <c r="E77" s="25"/>
      <c r="F77" s="2"/>
    </row>
    <row r="78" spans="1:9" ht="15.75" x14ac:dyDescent="0.25">
      <c r="A78" s="3" t="s">
        <v>113</v>
      </c>
      <c r="B78" s="8">
        <f>B76/3*0.2</f>
        <v>8120</v>
      </c>
      <c r="C78" s="8">
        <f t="shared" ref="C78:D78" si="2">C76/3*0.2</f>
        <v>7260</v>
      </c>
      <c r="D78" s="8">
        <f t="shared" si="2"/>
        <v>6496</v>
      </c>
      <c r="E78" s="71"/>
      <c r="F78" s="72"/>
    </row>
    <row r="79" spans="1:9" ht="15.75" x14ac:dyDescent="0.25">
      <c r="A79" s="3" t="s">
        <v>87</v>
      </c>
      <c r="B79" s="8"/>
      <c r="C79" s="8"/>
      <c r="D79" s="8"/>
      <c r="E79" s="71"/>
      <c r="F79" s="72"/>
    </row>
    <row r="80" spans="1:9" ht="17.25" customHeight="1" x14ac:dyDescent="0.25">
      <c r="A80" s="3" t="s">
        <v>110</v>
      </c>
      <c r="B80" s="46">
        <f>SUM(B76:B79)</f>
        <v>184730</v>
      </c>
      <c r="C80" s="46">
        <f>SUM(C76:C79)</f>
        <v>165165</v>
      </c>
      <c r="D80" s="46">
        <f>SUM(D76:D79)</f>
        <v>147783.99999999997</v>
      </c>
      <c r="E80" s="25"/>
      <c r="F80" s="2"/>
    </row>
    <row r="81" spans="1:7" ht="17.25" customHeight="1" x14ac:dyDescent="0.25">
      <c r="A81" s="3" t="s">
        <v>88</v>
      </c>
      <c r="B81" s="49">
        <f>(B10+B13)/B14*100</f>
        <v>16.203703703703702</v>
      </c>
      <c r="C81" s="49">
        <f>(B10+B13)/B14*100</f>
        <v>16.203703703703702</v>
      </c>
      <c r="D81" s="49">
        <f>(B10+B13)/B14*100</f>
        <v>16.203703703703702</v>
      </c>
      <c r="E81" s="25"/>
      <c r="F81" s="2"/>
    </row>
    <row r="82" spans="1:7" ht="16.149999999999999" customHeight="1" x14ac:dyDescent="0.25">
      <c r="A82" s="3" t="s">
        <v>89</v>
      </c>
      <c r="B82" s="46">
        <f>B80*(B81/100)</f>
        <v>29933.10185185185</v>
      </c>
      <c r="C82" s="46">
        <f t="shared" ref="C82:D82" si="3">C80*(C81/100)</f>
        <v>26762.847222222223</v>
      </c>
      <c r="D82" s="46">
        <f t="shared" si="3"/>
        <v>23946.481481481478</v>
      </c>
      <c r="E82" s="25"/>
      <c r="F82" s="2"/>
    </row>
    <row r="83" spans="1:7" ht="15.75" x14ac:dyDescent="0.25">
      <c r="A83" s="45" t="s">
        <v>112</v>
      </c>
      <c r="B83" s="63">
        <f>B80+B82</f>
        <v>214663.10185185185</v>
      </c>
      <c r="C83" s="63">
        <f t="shared" ref="C83:D83" si="4">C80+C82</f>
        <v>191927.84722222222</v>
      </c>
      <c r="D83" s="63">
        <f t="shared" si="4"/>
        <v>171730.48148148146</v>
      </c>
      <c r="E83" s="24"/>
      <c r="F83" s="24"/>
    </row>
    <row r="85" spans="1:7" ht="15.75" x14ac:dyDescent="0.25">
      <c r="A85" s="77" t="s">
        <v>59</v>
      </c>
      <c r="B85" s="77"/>
      <c r="C85" s="77"/>
      <c r="D85" s="77"/>
      <c r="E85" s="77"/>
      <c r="F85" s="77"/>
      <c r="G85" s="77"/>
    </row>
    <row r="86" spans="1:7" ht="26.85" customHeight="1" x14ac:dyDescent="0.25">
      <c r="A86" s="4" t="s">
        <v>62</v>
      </c>
      <c r="B86" s="69" t="s">
        <v>29</v>
      </c>
      <c r="C86" s="70" t="s">
        <v>61</v>
      </c>
      <c r="D86" s="73" t="s">
        <v>26</v>
      </c>
      <c r="E86" s="74"/>
      <c r="F86" s="74"/>
      <c r="G86" s="75"/>
    </row>
    <row r="87" spans="1:7" ht="53.85" customHeight="1" x14ac:dyDescent="0.25">
      <c r="A87" s="4"/>
      <c r="B87" s="69"/>
      <c r="C87" s="70"/>
      <c r="D87" s="4" t="s">
        <v>60</v>
      </c>
      <c r="E87" s="4" t="s">
        <v>94</v>
      </c>
      <c r="F87" s="4" t="s">
        <v>111</v>
      </c>
      <c r="G87" s="4" t="s">
        <v>30</v>
      </c>
    </row>
    <row r="88" spans="1:7" ht="15.75" x14ac:dyDescent="0.25">
      <c r="A88" s="48" t="s">
        <v>31</v>
      </c>
      <c r="B88" s="8">
        <f>B42</f>
        <v>1</v>
      </c>
      <c r="C88" s="8">
        <f>B46</f>
        <v>2180</v>
      </c>
      <c r="D88" s="6">
        <f>C88*12*B88</f>
        <v>26160</v>
      </c>
      <c r="E88" s="8">
        <f>D88*0.45</f>
        <v>11772</v>
      </c>
      <c r="F88" s="8">
        <f>(D88)*($D$81/100)</f>
        <v>4238.8888888888887</v>
      </c>
      <c r="G88" s="8">
        <f>SUM(D88:F88)</f>
        <v>42170.888888888891</v>
      </c>
    </row>
    <row r="89" spans="1:7" ht="15.75" x14ac:dyDescent="0.25">
      <c r="A89" s="3" t="s">
        <v>32</v>
      </c>
      <c r="B89" s="8">
        <f>B43</f>
        <v>2</v>
      </c>
      <c r="C89" s="8">
        <f>B47</f>
        <v>1800</v>
      </c>
      <c r="D89" s="6">
        <f>C89*12*B89</f>
        <v>43200</v>
      </c>
      <c r="E89" s="8">
        <f t="shared" ref="E89:E90" si="5">D89*0.45</f>
        <v>19440</v>
      </c>
      <c r="F89" s="8">
        <f t="shared" ref="F89:F90" si="6">(D89)*($D$81/100)</f>
        <v>7000</v>
      </c>
      <c r="G89" s="8">
        <f t="shared" ref="G89:G90" si="7">SUM(D89:F89)</f>
        <v>69640</v>
      </c>
    </row>
    <row r="90" spans="1:7" ht="15.75" x14ac:dyDescent="0.25">
      <c r="A90" s="3" t="s">
        <v>33</v>
      </c>
      <c r="B90" s="8">
        <f>B44</f>
        <v>3</v>
      </c>
      <c r="C90" s="8">
        <f>B48</f>
        <v>1750</v>
      </c>
      <c r="D90" s="6">
        <f t="shared" ref="D90" si="8">C90*12*B90</f>
        <v>63000</v>
      </c>
      <c r="E90" s="8">
        <f t="shared" si="5"/>
        <v>28350</v>
      </c>
      <c r="F90" s="8">
        <f t="shared" si="6"/>
        <v>10208.333333333334</v>
      </c>
      <c r="G90" s="8">
        <f t="shared" si="7"/>
        <v>101558.33333333333</v>
      </c>
    </row>
    <row r="91" spans="1:7" ht="15.75" x14ac:dyDescent="0.25">
      <c r="A91" s="3" t="s">
        <v>25</v>
      </c>
      <c r="B91" s="46">
        <f>SUM(B88:B90)</f>
        <v>6</v>
      </c>
      <c r="C91" s="14"/>
      <c r="D91" s="46">
        <f>SUM(D88:D90)</f>
        <v>132360</v>
      </c>
      <c r="E91" s="46">
        <f>SUM(E88:E90)</f>
        <v>59562</v>
      </c>
      <c r="F91" s="8">
        <f>SUM(F88:F90)</f>
        <v>21447.222222222223</v>
      </c>
      <c r="G91" s="46">
        <f>SUM(G88:G90)</f>
        <v>213369.22222222222</v>
      </c>
    </row>
    <row r="93" spans="1:7" ht="15.75" x14ac:dyDescent="0.25">
      <c r="A93" s="50" t="s">
        <v>66</v>
      </c>
    </row>
    <row r="94" spans="1:7" ht="15.75" x14ac:dyDescent="0.25">
      <c r="A94" s="3" t="s">
        <v>67</v>
      </c>
      <c r="B94" s="5" t="s">
        <v>1</v>
      </c>
    </row>
    <row r="95" spans="1:7" ht="15.75" x14ac:dyDescent="0.25">
      <c r="A95" s="3" t="s">
        <v>69</v>
      </c>
      <c r="B95" s="51">
        <f>B83+C83+D83+G91</f>
        <v>791690.65277777775</v>
      </c>
    </row>
    <row r="96" spans="1:7" ht="15.75" x14ac:dyDescent="0.25">
      <c r="A96" s="3" t="s">
        <v>70</v>
      </c>
      <c r="B96" s="51">
        <f>E71+B91</f>
        <v>42</v>
      </c>
    </row>
    <row r="97" spans="1:2" ht="15.75" x14ac:dyDescent="0.25">
      <c r="A97" s="3" t="s">
        <v>71</v>
      </c>
      <c r="B97" s="52">
        <f>B95/B96</f>
        <v>18849.777447089946</v>
      </c>
    </row>
    <row r="98" spans="1:2" ht="15.75" x14ac:dyDescent="0.25">
      <c r="A98" s="3" t="s">
        <v>72</v>
      </c>
      <c r="B98" s="52">
        <f>B97/12</f>
        <v>1570.8147872574955</v>
      </c>
    </row>
    <row r="99" spans="1:2" ht="19.899999999999999" customHeight="1" x14ac:dyDescent="0.25">
      <c r="A99" s="3" t="s">
        <v>73</v>
      </c>
      <c r="B99" s="52">
        <f>B26/B96</f>
        <v>914.76190476190482</v>
      </c>
    </row>
    <row r="100" spans="1:2" ht="29.65" customHeight="1" x14ac:dyDescent="0.25">
      <c r="A100" s="3" t="s">
        <v>102</v>
      </c>
      <c r="B100" s="52">
        <f>B99/B8</f>
        <v>3.5732886904761907</v>
      </c>
    </row>
    <row r="101" spans="1:2" ht="31.5" x14ac:dyDescent="0.25">
      <c r="A101" s="3" t="s">
        <v>74</v>
      </c>
      <c r="B101" s="52">
        <f>B100/8</f>
        <v>0.44666108630952384</v>
      </c>
    </row>
  </sheetData>
  <mergeCells count="22">
    <mergeCell ref="A73:D73"/>
    <mergeCell ref="A85:G85"/>
    <mergeCell ref="A3:K3"/>
    <mergeCell ref="A50:H50"/>
    <mergeCell ref="A20:H20"/>
    <mergeCell ref="B21:K21"/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  <mergeCell ref="B86:B87"/>
    <mergeCell ref="C86:C87"/>
    <mergeCell ref="E78:E79"/>
    <mergeCell ref="F78:F79"/>
    <mergeCell ref="A74:A75"/>
    <mergeCell ref="D86:G86"/>
    <mergeCell ref="B74:D7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4"/>
  <sheetViews>
    <sheetView topLeftCell="A13" workbookViewId="0">
      <selection activeCell="A16" sqref="A16"/>
    </sheetView>
  </sheetViews>
  <sheetFormatPr defaultRowHeight="15" x14ac:dyDescent="0.25"/>
  <cols>
    <col min="1" max="1" width="110.28515625" customWidth="1"/>
  </cols>
  <sheetData>
    <row r="1" spans="1:1" ht="18.75" x14ac:dyDescent="0.25">
      <c r="A1" s="54" t="s">
        <v>77</v>
      </c>
    </row>
    <row r="2" spans="1:1" ht="18.75" x14ac:dyDescent="0.25">
      <c r="A2" s="59" t="s">
        <v>78</v>
      </c>
    </row>
    <row r="3" spans="1:1" ht="63" x14ac:dyDescent="0.25">
      <c r="A3" s="55" t="s">
        <v>79</v>
      </c>
    </row>
    <row r="4" spans="1:1" ht="15.75" x14ac:dyDescent="0.25">
      <c r="A4" s="56"/>
    </row>
    <row r="5" spans="1:1" ht="63" x14ac:dyDescent="0.25">
      <c r="A5" s="57" t="s">
        <v>80</v>
      </c>
    </row>
    <row r="6" spans="1:1" ht="15.75" x14ac:dyDescent="0.25">
      <c r="A6" s="56"/>
    </row>
    <row r="7" spans="1:1" ht="15.75" x14ac:dyDescent="0.25">
      <c r="A7" s="60" t="s">
        <v>81</v>
      </c>
    </row>
    <row r="8" spans="1:1" ht="15.75" x14ac:dyDescent="0.25">
      <c r="A8" s="56"/>
    </row>
    <row r="9" spans="1:1" ht="31.5" x14ac:dyDescent="0.25">
      <c r="A9" s="61" t="s">
        <v>82</v>
      </c>
    </row>
    <row r="10" spans="1:1" ht="15.75" x14ac:dyDescent="0.25">
      <c r="A10" s="56" t="s">
        <v>100</v>
      </c>
    </row>
    <row r="11" spans="1:1" ht="31.5" x14ac:dyDescent="0.25">
      <c r="A11" s="55" t="s">
        <v>83</v>
      </c>
    </row>
    <row r="12" spans="1:1" ht="15.75" x14ac:dyDescent="0.25">
      <c r="A12" s="56"/>
    </row>
    <row r="13" spans="1:1" ht="126" x14ac:dyDescent="0.25">
      <c r="A13" s="62" t="s">
        <v>84</v>
      </c>
    </row>
    <row r="14" spans="1:1" ht="69" x14ac:dyDescent="0.25">
      <c r="A14" s="65" t="s">
        <v>92</v>
      </c>
    </row>
    <row r="15" spans="1:1" ht="18.75" x14ac:dyDescent="0.25">
      <c r="A15" s="44" t="s">
        <v>101</v>
      </c>
    </row>
    <row r="16" spans="1:1" ht="110.25" x14ac:dyDescent="0.25">
      <c r="A16" s="64" t="s">
        <v>93</v>
      </c>
    </row>
    <row r="17" spans="1:1" ht="15.75" x14ac:dyDescent="0.25">
      <c r="A17" s="44" t="s">
        <v>90</v>
      </c>
    </row>
    <row r="18" spans="1:1" ht="15.75" x14ac:dyDescent="0.25">
      <c r="A18" s="44" t="s">
        <v>91</v>
      </c>
    </row>
    <row r="19" spans="1:1" ht="78.75" x14ac:dyDescent="0.25">
      <c r="A19" s="66" t="s">
        <v>98</v>
      </c>
    </row>
    <row r="21" spans="1:1" ht="47.25" x14ac:dyDescent="0.25">
      <c r="A21" s="58" t="s">
        <v>99</v>
      </c>
    </row>
    <row r="22" spans="1:1" ht="18.75" x14ac:dyDescent="0.35">
      <c r="A22" s="68" t="s">
        <v>95</v>
      </c>
    </row>
    <row r="23" spans="1:1" ht="18.75" x14ac:dyDescent="0.35">
      <c r="A23" s="68" t="s">
        <v>96</v>
      </c>
    </row>
    <row r="24" spans="1:1" ht="34.5" x14ac:dyDescent="0.25">
      <c r="A24" s="67" t="s">
        <v>97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Владислав Васильев</cp:lastModifiedBy>
  <dcterms:created xsi:type="dcterms:W3CDTF">2024-02-22T06:33:23Z</dcterms:created>
  <dcterms:modified xsi:type="dcterms:W3CDTF">2026-04-10T08:58:09Z</dcterms:modified>
</cp:coreProperties>
</file>