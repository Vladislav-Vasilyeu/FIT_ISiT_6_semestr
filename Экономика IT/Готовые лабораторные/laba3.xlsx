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3 курс 2 семестр\Экономика IT\Готовые лабораторные\"/>
    </mc:Choice>
  </mc:AlternateContent>
  <xr:revisionPtr revIDLastSave="0" documentId="13_ncr:1_{79B3B0FF-00B4-441C-8F18-42A335A14645}" xr6:coauthVersionLast="47" xr6:coauthVersionMax="47" xr10:uidLastSave="{00000000-0000-0000-0000-000000000000}"/>
  <bookViews>
    <workbookView xWindow="-120" yWindow="-120" windowWidth="29040" windowHeight="15990" xr2:uid="{F4BB4904-EE61-4A79-9507-410BB5CF7477}"/>
  </bookViews>
  <sheets>
    <sheet name="Исх данные решение" sheetId="2" r:id="rId1"/>
    <sheet name="Порядок работы" sheetId="5" r:id="rId2"/>
    <sheet name="График (пример)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2" l="1"/>
  <c r="B27" i="2"/>
  <c r="B22" i="2"/>
  <c r="B24" i="2"/>
  <c r="D61" i="2"/>
  <c r="D62" i="2"/>
  <c r="D63" i="2"/>
  <c r="D64" i="2"/>
  <c r="D65" i="2"/>
  <c r="D66" i="2"/>
  <c r="D67" i="2"/>
  <c r="D68" i="2"/>
  <c r="D60" i="2"/>
  <c r="D56" i="2"/>
  <c r="D53" i="2"/>
  <c r="B30" i="2" l="1"/>
  <c r="B31" i="2"/>
  <c r="D54" i="2" s="1"/>
  <c r="B25" i="2"/>
  <c r="B23" i="2"/>
  <c r="B28" i="2" l="1"/>
  <c r="B34" i="2"/>
  <c r="E65" i="2"/>
  <c r="F65" i="2" s="1"/>
  <c r="E68" i="2"/>
  <c r="F68" i="2" s="1"/>
  <c r="E66" i="2"/>
  <c r="F66" i="2" s="1"/>
  <c r="E67" i="2"/>
  <c r="F67" i="2" s="1"/>
  <c r="E60" i="2"/>
  <c r="F60" i="2" s="1"/>
  <c r="E61" i="2"/>
  <c r="F61" i="2" s="1"/>
  <c r="E64" i="2"/>
  <c r="F64" i="2" s="1"/>
  <c r="E63" i="2"/>
  <c r="F63" i="2" s="1"/>
  <c r="B37" i="2"/>
  <c r="B35" i="2"/>
  <c r="B36" i="2"/>
  <c r="B38" i="2"/>
  <c r="B39" i="2" l="1"/>
  <c r="E29" i="2"/>
  <c r="B29" i="2" s="1"/>
  <c r="D55" i="2" l="1"/>
  <c r="B32" i="2"/>
  <c r="D52" i="2" s="1"/>
  <c r="C62" i="2" s="1"/>
  <c r="G62" i="2" l="1"/>
  <c r="E62" i="2"/>
  <c r="F62" i="2" s="1"/>
  <c r="G68" i="2"/>
  <c r="H68" i="2" s="1"/>
  <c r="G61" i="2"/>
  <c r="H61" i="2" s="1"/>
  <c r="G64" i="2"/>
  <c r="H64" i="2" s="1"/>
  <c r="G67" i="2"/>
  <c r="H67" i="2" s="1"/>
  <c r="G63" i="2"/>
  <c r="H63" i="2" s="1"/>
  <c r="G65" i="2"/>
  <c r="H65" i="2" s="1"/>
  <c r="G60" i="2"/>
  <c r="H60" i="2" s="1"/>
  <c r="G66" i="2"/>
  <c r="H66" i="2" s="1"/>
  <c r="H62" i="2" l="1"/>
</calcChain>
</file>

<file path=xl/sharedStrings.xml><?xml version="1.0" encoding="utf-8"?>
<sst xmlns="http://schemas.openxmlformats.org/spreadsheetml/2006/main" count="78" uniqueCount="78">
  <si>
    <t>Показатели</t>
  </si>
  <si>
    <t>Варианты</t>
  </si>
  <si>
    <t>4. Цена 1 КВт*ч, руб.</t>
  </si>
  <si>
    <t>6. Заработная плата административного персонала предприятия, тыс. руб.</t>
  </si>
  <si>
    <t>ИТОГО, руб.</t>
  </si>
  <si>
    <t>Методические указания</t>
  </si>
  <si>
    <t>– рассчитывается отпускная цена Ц, тыс. руб., изделия по формуле</t>
  </si>
  <si>
    <t xml:space="preserve">                                        </t>
  </si>
  <si>
    <r>
      <t>– определя</t>
    </r>
    <r>
      <rPr>
        <sz val="12"/>
        <rFont val="Calibri"/>
        <family val="2"/>
        <charset val="204"/>
      </rPr>
      <t>ется размер прибыли, приходящейся на единицу продукции П</t>
    </r>
    <r>
      <rPr>
        <vertAlign val="subscript"/>
        <sz val="12"/>
        <rFont val="Calibri"/>
        <family val="2"/>
        <charset val="204"/>
      </rPr>
      <t>р</t>
    </r>
    <r>
      <rPr>
        <sz val="12"/>
        <rFont val="Calibri"/>
        <family val="2"/>
        <charset val="204"/>
      </rPr>
      <t>, тыс. руб., по формуле</t>
    </r>
  </si>
  <si>
    <t>ЭЛЕМЕНТЫ ЗАТРАТ</t>
  </si>
  <si>
    <t>3. Отчисления в ФСЗН</t>
  </si>
  <si>
    <t>1. Материальные затраты</t>
  </si>
  <si>
    <t>2. Фонд оплаты труда работников</t>
  </si>
  <si>
    <t>4. Амортизационные отчисления</t>
  </si>
  <si>
    <t>5. Прочие</t>
  </si>
  <si>
    <t>ИТОГО</t>
  </si>
  <si>
    <t>1. Годовой выпуск продукции, шт</t>
  </si>
  <si>
    <t>2. Затраты сырья, материалов на 1 шт, руб.</t>
  </si>
  <si>
    <t>3. Затраты энергии на технологические нужды на 1 шт, КВт*ч</t>
  </si>
  <si>
    <t>5. Основная и дополнительная заработная плата производственных рабочих на 1 шт, руб.</t>
  </si>
  <si>
    <t>Себестоимость 1 шт, руб.</t>
  </si>
  <si>
    <t>Цена 1 шт (без НДС), руб.</t>
  </si>
  <si>
    <t>Точка окупаемости, шт</t>
  </si>
  <si>
    <t>СТРУКТУРА ЗАТРАТ, %</t>
  </si>
  <si>
    <r>
      <rPr>
        <b/>
        <i/>
        <sz val="12"/>
        <rFont val="Calibri"/>
        <family val="2"/>
        <charset val="204"/>
      </rPr>
      <t>Материальные затраты</t>
    </r>
    <r>
      <rPr>
        <sz val="12"/>
        <rFont val="Calibri"/>
        <family val="2"/>
        <charset val="204"/>
      </rPr>
      <t xml:space="preserve"> включают стоимость сырья, материалов, энергии, платы за пользование природными ресурсами</t>
    </r>
  </si>
  <si>
    <t>9. Средняя норма амортизации, %</t>
  </si>
  <si>
    <t>10. Расходы по содержанию и эксплуатации  оборудования в год, тыс. руб.</t>
  </si>
  <si>
    <t>11. Плата процентов по краткосрочным кредитам банка, тыс. руб.</t>
  </si>
  <si>
    <t>12. Оплата услуг информационных и аудиторских компаний, тыс. руб.</t>
  </si>
  <si>
    <t>13. Оплата рекламных услуг, тыс. руб.</t>
  </si>
  <si>
    <t>14. Расходы на упаковку и транспортировку продукции, тыс. руб.</t>
  </si>
  <si>
    <t>15. Плата за пользование природными ресурсами, тыс. руб.</t>
  </si>
  <si>
    <t>16. Расходы на освещение и отопление цеха, тыс. руб.</t>
  </si>
  <si>
    <t>17. Рентабельность продукции, %</t>
  </si>
  <si>
    <t>3. Отчисления в ФСЗН, руб. (34% от ФОТ)</t>
  </si>
  <si>
    <r>
      <rPr>
        <b/>
        <i/>
        <sz val="12"/>
        <rFont val="Calibri"/>
        <family val="2"/>
        <charset val="204"/>
      </rPr>
      <t>Фонд оплаты труда</t>
    </r>
    <r>
      <rPr>
        <sz val="12"/>
        <rFont val="Calibri"/>
        <family val="2"/>
        <charset val="204"/>
      </rPr>
      <t xml:space="preserve"> - основную и дополнительную заработную плату производственных рабочих и административного персонала</t>
    </r>
  </si>
  <si>
    <r>
      <t xml:space="preserve">1. Смета затрат на производство продукции (на весь объем) формируется в соответствии с </t>
    </r>
    <r>
      <rPr>
        <sz val="12"/>
        <rFont val="Calibri"/>
        <family val="2"/>
        <charset val="204"/>
      </rPr>
      <t>Основными положениями по составу затрат, включаемых в себестоимость продукции на основании исходных данных.</t>
    </r>
  </si>
  <si>
    <r>
      <rPr>
        <b/>
        <i/>
        <sz val="12"/>
        <rFont val="Calibri"/>
        <family val="2"/>
        <charset val="204"/>
      </rPr>
      <t>Отчисления в ФСЗН</t>
    </r>
    <r>
      <rPr>
        <sz val="12"/>
        <rFont val="Calibri"/>
        <family val="2"/>
        <charset val="204"/>
      </rPr>
      <t xml:space="preserve"> - 34% от фонда отплаты труда</t>
    </r>
  </si>
  <si>
    <t>7. ОС общезаводского назначения, тыс. руб.</t>
  </si>
  <si>
    <t>8. ОС цехового назначения (оборудования), тыс. руб.</t>
  </si>
  <si>
    <r>
      <rPr>
        <b/>
        <i/>
        <sz val="12"/>
        <rFont val="Calibri"/>
        <family val="2"/>
        <charset val="204"/>
      </rPr>
      <t>Амортизационные отчисления</t>
    </r>
    <r>
      <rPr>
        <sz val="12"/>
        <rFont val="Calibri"/>
        <family val="2"/>
        <charset val="204"/>
      </rPr>
      <t xml:space="preserve"> рассчитываются исходя из средней нормы амортизации по данной организации и стоимости основных средств общезаводского и цехового назначения</t>
    </r>
  </si>
  <si>
    <r>
      <rPr>
        <b/>
        <i/>
        <sz val="12"/>
        <rFont val="Calibri"/>
        <family val="2"/>
        <charset val="204"/>
      </rPr>
      <t>Прочие</t>
    </r>
    <r>
      <rPr>
        <sz val="12"/>
        <rFont val="Calibri"/>
        <family val="2"/>
        <charset val="204"/>
      </rPr>
      <t>затраты включают расходы по содержанию и эксплуатации машин и оборудования, выплаты процентов по кредитам финансовых учреждений, оплату услуг информационных, страховых и других организаций, оплату рекламных, дизайнерских услуг, расходы на транспортировку продукции (коммерческие расходы), расходы на энергию на хозяйственные нужды и пр.</t>
    </r>
  </si>
  <si>
    <t>2. Рассчитывается себестоимость единицы изделия С, руб., как отношение общей суммы затрат произведенной продукции к годовому выпуску продукции в натуральном выражении.</t>
  </si>
  <si>
    <t>3. Находится отпускная цена единицы нового изделия в следующей последовательности:</t>
  </si>
  <si>
    <r>
      <t xml:space="preserve">где С – полная себестоимость единицы изделия, руб.; </t>
    </r>
    <r>
      <rPr>
        <i/>
        <sz val="12"/>
        <rFont val="Calibri"/>
        <family val="2"/>
        <charset val="204"/>
      </rPr>
      <t>R</t>
    </r>
    <r>
      <rPr>
        <sz val="12"/>
        <rFont val="Calibri"/>
        <family val="2"/>
        <charset val="204"/>
      </rPr>
      <t xml:space="preserve"> – планируемый процент рентабельности;</t>
    </r>
  </si>
  <si>
    <t>4. Группируются элементы затрат:</t>
  </si>
  <si>
    <t>– условно-переменные (материальные затраты, расходы на содержание машин и оборудования, заработная плата производственных рабочих с отчислениями в ФСЗН, расходы на упаковку и транспортирование продукции и др.).</t>
  </si>
  <si>
    <t xml:space="preserve">                                    </t>
  </si>
  <si>
    <r>
      <t>где З</t>
    </r>
    <r>
      <rPr>
        <vertAlign val="subscript"/>
        <sz val="12"/>
        <color indexed="8"/>
        <rFont val="Calibri"/>
        <family val="2"/>
        <charset val="204"/>
      </rPr>
      <t>пост</t>
    </r>
    <r>
      <rPr>
        <sz val="12"/>
        <color indexed="8"/>
        <rFont val="Calibri"/>
        <family val="2"/>
        <charset val="204"/>
      </rPr>
      <t xml:space="preserve"> – условно-постоянные затраты на весь выпуск продукции, руб.; </t>
    </r>
  </si>
  <si>
    <r>
      <t xml:space="preserve">      З</t>
    </r>
    <r>
      <rPr>
        <vertAlign val="subscript"/>
        <sz val="12"/>
        <color indexed="8"/>
        <rFont val="Calibri"/>
        <family val="2"/>
        <charset val="204"/>
      </rPr>
      <t>пер</t>
    </r>
    <r>
      <rPr>
        <sz val="12"/>
        <color indexed="8"/>
        <rFont val="Calibri"/>
        <family val="2"/>
        <charset val="204"/>
      </rPr>
      <t xml:space="preserve"> – условно-переменные затраты на единицу продукции, руб.</t>
    </r>
  </si>
  <si>
    <r>
      <t>– на условно-постоянные (</t>
    </r>
    <r>
      <rPr>
        <i/>
        <sz val="12"/>
        <color indexed="8"/>
        <rFont val="Calibri"/>
        <family val="2"/>
        <charset val="204"/>
      </rPr>
      <t>не зависят непосредственно от количества изготовляемой продукции</t>
    </r>
    <r>
      <rPr>
        <sz val="12"/>
        <color indexed="8"/>
        <rFont val="Calibri"/>
        <family val="2"/>
        <charset val="204"/>
      </rPr>
      <t>) (заработная плата управленческого персонала с отчислениями в ФСЗН, амортизационных отчислений ОС общезаводского назначения, плата процентов по ссудам, расходы информационных компаний, маркетинговые исследования, оплата рекламных услуг, расходы на подготовку и освоение производства, энергия на хозяйственные нужды и др.);</t>
    </r>
  </si>
  <si>
    <r>
      <rPr>
        <b/>
        <i/>
        <sz val="12"/>
        <color indexed="63"/>
        <rFont val="Calibri"/>
        <family val="2"/>
        <charset val="204"/>
      </rPr>
      <t>Точка безубыточности</t>
    </r>
    <r>
      <rPr>
        <sz val="12"/>
        <color indexed="63"/>
        <rFont val="Calibri"/>
        <family val="2"/>
        <charset val="204"/>
      </rPr>
      <t xml:space="preserve"> - объём производства и реализации продукции, при котором расходы будут компенсированы доходами, а при производстве и реализации каждой последующей единицы продукции предприятие начинает получать прибыль</t>
    </r>
  </si>
  <si>
    <r>
      <t>5. Определяется точка безубыточности В</t>
    </r>
    <r>
      <rPr>
        <vertAlign val="subscript"/>
        <sz val="12"/>
        <color indexed="8"/>
        <rFont val="Calibri"/>
        <family val="2"/>
        <charset val="204"/>
      </rPr>
      <t>без</t>
    </r>
    <r>
      <rPr>
        <sz val="12"/>
        <color indexed="8"/>
        <rFont val="Calibri"/>
        <family val="2"/>
        <charset val="204"/>
      </rPr>
      <t xml:space="preserve"> производства изделий по формуле</t>
    </r>
  </si>
  <si>
    <t>7. Рассчитывается запас финансовой прочности (при построении графика точки безубыточности, см лист "График")</t>
  </si>
  <si>
    <t>6. Строится круговая диаграмма структуры затрат по элементам, график точки безубыточности (см лист "График")</t>
  </si>
  <si>
    <r>
      <t>Насколько далеко предприятие от точки безубыточности показывает </t>
    </r>
    <r>
      <rPr>
        <i/>
        <sz val="12"/>
        <color indexed="63"/>
        <rFont val="Calibri"/>
        <family val="2"/>
        <charset val="204"/>
      </rPr>
      <t>запас финансовой прочности (кромка безопасности)</t>
    </r>
    <r>
      <rPr>
        <sz val="12"/>
        <color indexed="63"/>
        <rFont val="Calibri"/>
        <family val="2"/>
        <charset val="204"/>
      </rPr>
      <t>. Это разность между фактическим объемом выпуска и объемом выпуска в точке безубыточности. Рассчитывается процентное отношение запаса финансовой прочности к фактическому объему.</t>
    </r>
  </si>
  <si>
    <t>Запасом финансовой прочности считается запас прочности выше 30%</t>
  </si>
  <si>
    <r>
      <t xml:space="preserve">Задание. </t>
    </r>
    <r>
      <rPr>
        <sz val="14"/>
        <color indexed="60"/>
        <rFont val="Calibri"/>
        <family val="2"/>
        <charset val="204"/>
      </rPr>
      <t>Предприниматель с образованием юридического лица начал производство новой продукции. На основании данных таблицы разработать смету затрат на производство продукции по элементам и определить структуру затрат. Сформировать отпускную цену продукции с учетом планируемого уровня рентабельности. Рассчитать точку безубыточности производства изделия, предварительно определив условно-переменные и условно-постоянные затраты. Построить график безубыточности. Рассчитать кромку безопасности</t>
    </r>
  </si>
  <si>
    <t>Кромка безопасности, тыс. руб.</t>
  </si>
  <si>
    <t>Кромка безопасности, %</t>
  </si>
  <si>
    <t>прибыль</t>
  </si>
  <si>
    <t>В без, шт</t>
  </si>
  <si>
    <t>Зпост, тыс.руб.</t>
  </si>
  <si>
    <t>Ц, руб./шт</t>
  </si>
  <si>
    <t>Выпуск ф, шт</t>
  </si>
  <si>
    <t>Объем производства, шт</t>
  </si>
  <si>
    <t>Зпост, тыс руб</t>
  </si>
  <si>
    <t>Зпер, тыс руб</t>
  </si>
  <si>
    <t>Зитого</t>
  </si>
  <si>
    <t>Выручка общ, тыс руб</t>
  </si>
  <si>
    <t>Прибыль, тыс руб</t>
  </si>
  <si>
    <t>Зпер, тыс.руб./шт</t>
  </si>
  <si>
    <t xml:space="preserve">1. МЗ, руб. </t>
  </si>
  <si>
    <t xml:space="preserve">2. ФОТ, руб. </t>
  </si>
  <si>
    <t xml:space="preserve">4. Амортизационные отчисления, руб. </t>
  </si>
  <si>
    <t xml:space="preserve">5. Прочие, руб. </t>
  </si>
  <si>
    <t xml:space="preserve">Условно-постоянные (УПР), тыс. руб. </t>
  </si>
  <si>
    <t xml:space="preserve">Условно-переменные на 1ш т, руб.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</si>
</sst>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0" x14ac:knownFonts="1">
    <font>
      <sz val="10"/>
      <name val="Arial Cyr"/>
      <charset val="204"/>
    </font>
    <font>
      <sz val="8"/>
      <name val="Arial Cyr"/>
      <charset val="204"/>
    </font>
    <font>
      <b/>
      <sz val="12"/>
      <name val="Arial Cyr"/>
      <charset val="204"/>
    </font>
    <font>
      <sz val="12"/>
      <color indexed="8"/>
      <name val="Calibri"/>
      <family val="2"/>
      <charset val="204"/>
    </font>
    <font>
      <sz val="12"/>
      <name val="Calibri"/>
      <family val="2"/>
      <charset val="204"/>
    </font>
    <font>
      <vertAlign val="subscript"/>
      <sz val="12"/>
      <name val="Calibri"/>
      <family val="2"/>
      <charset val="204"/>
    </font>
    <font>
      <i/>
      <sz val="12"/>
      <name val="Calibri"/>
      <family val="2"/>
      <charset val="204"/>
    </font>
    <font>
      <vertAlign val="subscript"/>
      <sz val="12"/>
      <color indexed="8"/>
      <name val="Calibri"/>
      <family val="2"/>
      <charset val="204"/>
    </font>
    <font>
      <b/>
      <i/>
      <sz val="12"/>
      <name val="Calibri"/>
      <family val="2"/>
      <charset val="204"/>
    </font>
    <font>
      <i/>
      <sz val="12"/>
      <color indexed="8"/>
      <name val="Calibri"/>
      <family val="2"/>
      <charset val="204"/>
    </font>
    <font>
      <sz val="12"/>
      <color indexed="63"/>
      <name val="Calibri"/>
      <family val="2"/>
      <charset val="204"/>
    </font>
    <font>
      <b/>
      <i/>
      <sz val="12"/>
      <color indexed="63"/>
      <name val="Calibri"/>
      <family val="2"/>
      <charset val="204"/>
    </font>
    <font>
      <i/>
      <sz val="12"/>
      <color indexed="63"/>
      <name val="Calibri"/>
      <family val="2"/>
      <charset val="204"/>
    </font>
    <font>
      <sz val="14"/>
      <color indexed="60"/>
      <name val="Calibri"/>
      <family val="2"/>
      <charset val="204"/>
    </font>
    <font>
      <b/>
      <i/>
      <sz val="14"/>
      <color rgb="FFC00000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2"/>
      <color indexed="8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sz val="12"/>
      <color rgb="FF333333"/>
      <name val="Calibri"/>
      <family val="2"/>
      <charset val="204"/>
      <scheme val="minor"/>
    </font>
    <font>
      <sz val="12"/>
      <color rgb="FF11111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4"/>
      <color rgb="FFC00000"/>
      <name val="Calibri"/>
      <family val="2"/>
      <charset val="204"/>
      <scheme val="minor"/>
    </font>
    <font>
      <b/>
      <sz val="10"/>
      <name val="Arial Cyr"/>
      <charset val="204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FF9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0" xfId="0" applyFont="1"/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horizontal="justify" vertical="center"/>
    </xf>
    <xf numFmtId="0" fontId="16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0" borderId="0" xfId="0" applyFont="1"/>
    <xf numFmtId="0" fontId="17" fillId="2" borderId="2" xfId="0" applyFont="1" applyFill="1" applyBorder="1" applyAlignment="1">
      <alignment horizontal="center" vertical="top" wrapText="1"/>
    </xf>
    <xf numFmtId="0" fontId="18" fillId="3" borderId="1" xfId="0" applyFont="1" applyFill="1" applyBorder="1" applyAlignment="1">
      <alignment horizontal="justify" vertical="top" wrapText="1"/>
    </xf>
    <xf numFmtId="0" fontId="18" fillId="3" borderId="1" xfId="0" applyFont="1" applyFill="1" applyBorder="1" applyAlignment="1">
      <alignment horizontal="center" vertical="top" wrapText="1"/>
    </xf>
    <xf numFmtId="0" fontId="18" fillId="3" borderId="1" xfId="0" applyFont="1" applyFill="1" applyBorder="1" applyAlignment="1">
      <alignment horizontal="center" vertical="center" wrapText="1"/>
    </xf>
    <xf numFmtId="2" fontId="18" fillId="3" borderId="1" xfId="0" applyNumberFormat="1" applyFont="1" applyFill="1" applyBorder="1" applyAlignment="1">
      <alignment horizontal="justify" vertical="top" wrapText="1"/>
    </xf>
    <xf numFmtId="2" fontId="17" fillId="4" borderId="3" xfId="0" applyNumberFormat="1" applyFont="1" applyFill="1" applyBorder="1" applyAlignment="1">
      <alignment horizontal="justify" vertical="top" wrapText="1"/>
    </xf>
    <xf numFmtId="0" fontId="19" fillId="3" borderId="3" xfId="0" applyFont="1" applyFill="1" applyBorder="1" applyAlignment="1">
      <alignment horizontal="center" vertical="top" wrapText="1"/>
    </xf>
    <xf numFmtId="2" fontId="20" fillId="5" borderId="1" xfId="0" applyNumberFormat="1" applyFont="1" applyFill="1" applyBorder="1"/>
    <xf numFmtId="0" fontId="17" fillId="6" borderId="1" xfId="0" applyFont="1" applyFill="1" applyBorder="1" applyAlignment="1">
      <alignment horizontal="center" vertical="top" wrapText="1"/>
    </xf>
    <xf numFmtId="3" fontId="20" fillId="4" borderId="1" xfId="0" applyNumberFormat="1" applyFont="1" applyFill="1" applyBorder="1" applyAlignment="1">
      <alignment horizontal="center"/>
    </xf>
    <xf numFmtId="0" fontId="21" fillId="7" borderId="0" xfId="0" applyFont="1" applyFill="1" applyAlignment="1">
      <alignment horizontal="center" vertical="top" wrapText="1"/>
    </xf>
    <xf numFmtId="0" fontId="22" fillId="0" borderId="0" xfId="0" applyFont="1"/>
    <xf numFmtId="0" fontId="22" fillId="4" borderId="1" xfId="0" applyFont="1" applyFill="1" applyBorder="1"/>
    <xf numFmtId="0" fontId="23" fillId="4" borderId="1" xfId="0" applyFont="1" applyFill="1" applyBorder="1"/>
    <xf numFmtId="0" fontId="18" fillId="5" borderId="3" xfId="0" applyFont="1" applyFill="1" applyBorder="1" applyAlignment="1">
      <alignment horizontal="center"/>
    </xf>
    <xf numFmtId="0" fontId="18" fillId="5" borderId="1" xfId="0" applyFont="1" applyFill="1" applyBorder="1" applyAlignment="1">
      <alignment horizontal="center"/>
    </xf>
    <xf numFmtId="1" fontId="20" fillId="5" borderId="1" xfId="0" applyNumberFormat="1" applyFont="1" applyFill="1" applyBorder="1" applyAlignment="1">
      <alignment horizontal="center"/>
    </xf>
    <xf numFmtId="164" fontId="20" fillId="5" borderId="1" xfId="0" applyNumberFormat="1" applyFont="1" applyFill="1" applyBorder="1" applyAlignment="1">
      <alignment horizontal="center"/>
    </xf>
    <xf numFmtId="164" fontId="20" fillId="7" borderId="1" xfId="0" applyNumberFormat="1" applyFont="1" applyFill="1" applyBorder="1" applyAlignment="1">
      <alignment horizontal="center"/>
    </xf>
    <xf numFmtId="164" fontId="18" fillId="7" borderId="1" xfId="0" applyNumberFormat="1" applyFont="1" applyFill="1" applyBorder="1" applyAlignment="1">
      <alignment horizontal="center"/>
    </xf>
    <xf numFmtId="0" fontId="24" fillId="4" borderId="1" xfId="0" applyFont="1" applyFill="1" applyBorder="1" applyAlignment="1">
      <alignment horizontal="center"/>
    </xf>
    <xf numFmtId="2" fontId="18" fillId="5" borderId="3" xfId="0" applyNumberFormat="1" applyFont="1" applyFill="1" applyBorder="1" applyAlignment="1">
      <alignment horizontal="justify" vertical="top" wrapText="1"/>
    </xf>
    <xf numFmtId="2" fontId="18" fillId="5" borderId="1" xfId="0" applyNumberFormat="1" applyFont="1" applyFill="1" applyBorder="1" applyAlignment="1">
      <alignment horizontal="justify" vertical="top" wrapText="1"/>
    </xf>
    <xf numFmtId="2" fontId="18" fillId="5" borderId="1" xfId="0" applyNumberFormat="1" applyFont="1" applyFill="1" applyBorder="1"/>
    <xf numFmtId="2" fontId="18" fillId="7" borderId="1" xfId="0" applyNumberFormat="1" applyFont="1" applyFill="1" applyBorder="1"/>
    <xf numFmtId="2" fontId="18" fillId="7" borderId="1" xfId="0" applyNumberFormat="1" applyFont="1" applyFill="1" applyBorder="1" applyAlignment="1">
      <alignment horizontal="justify" vertical="top" wrapText="1"/>
    </xf>
    <xf numFmtId="0" fontId="16" fillId="0" borderId="0" xfId="0" applyFont="1" applyAlignment="1">
      <alignment wrapText="1"/>
    </xf>
    <xf numFmtId="0" fontId="15" fillId="8" borderId="0" xfId="0" applyFont="1" applyFill="1" applyAlignment="1">
      <alignment horizontal="justify" vertical="center"/>
    </xf>
    <xf numFmtId="0" fontId="16" fillId="8" borderId="0" xfId="0" applyFont="1" applyFill="1" applyAlignment="1">
      <alignment horizontal="justify" vertical="center"/>
    </xf>
    <xf numFmtId="0" fontId="25" fillId="0" borderId="0" xfId="0" applyFont="1" applyAlignment="1">
      <alignment wrapText="1"/>
    </xf>
    <xf numFmtId="0" fontId="16" fillId="8" borderId="0" xfId="0" applyFont="1" applyFill="1"/>
    <xf numFmtId="0" fontId="25" fillId="0" borderId="0" xfId="0" applyFont="1" applyAlignment="1">
      <alignment vertical="center" wrapText="1"/>
    </xf>
    <xf numFmtId="0" fontId="26" fillId="0" borderId="0" xfId="0" applyFont="1"/>
    <xf numFmtId="0" fontId="0" fillId="4" borderId="1" xfId="0" applyFill="1" applyBorder="1"/>
    <xf numFmtId="2" fontId="17" fillId="5" borderId="1" xfId="0" applyNumberFormat="1" applyFont="1" applyFill="1" applyBorder="1" applyAlignment="1">
      <alignment horizontal="center" vertical="top" wrapText="1"/>
    </xf>
    <xf numFmtId="0" fontId="17" fillId="2" borderId="4" xfId="0" applyFont="1" applyFill="1" applyBorder="1" applyAlignment="1">
      <alignment horizontal="center" vertical="top" wrapText="1"/>
    </xf>
    <xf numFmtId="0" fontId="17" fillId="2" borderId="5" xfId="0" applyFont="1" applyFill="1" applyBorder="1" applyAlignment="1">
      <alignment horizontal="center" vertical="top" wrapText="1"/>
    </xf>
    <xf numFmtId="0" fontId="27" fillId="2" borderId="6" xfId="0" applyFont="1" applyFill="1" applyBorder="1" applyAlignment="1">
      <alignment horizontal="center" vertical="top" wrapText="1"/>
    </xf>
    <xf numFmtId="0" fontId="27" fillId="2" borderId="7" xfId="0" applyFont="1" applyFill="1" applyBorder="1" applyAlignment="1">
      <alignment horizontal="center" vertical="top" wrapText="1"/>
    </xf>
    <xf numFmtId="0" fontId="27" fillId="2" borderId="8" xfId="0" applyFont="1" applyFill="1" applyBorder="1" applyAlignment="1">
      <alignment horizontal="center" vertical="top" wrapText="1"/>
    </xf>
    <xf numFmtId="0" fontId="28" fillId="0" borderId="9" xfId="0" applyFont="1" applyBorder="1" applyAlignment="1">
      <alignment horizontal="left" wrapText="1"/>
    </xf>
    <xf numFmtId="0" fontId="29" fillId="0" borderId="0" xfId="0" applyFont="1"/>
    <xf numFmtId="164" fontId="0" fillId="0" borderId="0" xfId="0" applyNumberFormat="1"/>
    <xf numFmtId="0" fontId="29" fillId="0" borderId="1" xfId="0" applyFont="1" applyBorder="1"/>
    <xf numFmtId="3" fontId="0" fillId="0" borderId="1" xfId="0" applyNumberFormat="1" applyBorder="1"/>
    <xf numFmtId="164" fontId="0" fillId="0" borderId="1" xfId="0" applyNumberFormat="1" applyBorder="1"/>
    <xf numFmtId="0" fontId="0" fillId="0" borderId="1" xfId="0" applyBorder="1"/>
    <xf numFmtId="164" fontId="29" fillId="0" borderId="0" xfId="0" applyNumberFormat="1" applyFont="1"/>
    <xf numFmtId="0" fontId="29" fillId="0" borderId="1" xfId="0" applyFont="1" applyBorder="1" applyAlignment="1">
      <alignment vertical="center" wrapText="1"/>
    </xf>
    <xf numFmtId="3" fontId="29" fillId="0" borderId="1" xfId="0" applyNumberFormat="1" applyFont="1" applyBorder="1"/>
    <xf numFmtId="164" fontId="29" fillId="0" borderId="1" xfId="0" applyNumberFormat="1" applyFont="1" applyBorder="1"/>
    <xf numFmtId="3" fontId="0" fillId="0" borderId="1" xfId="0" applyNumberFormat="1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Структура затрат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C18-4493-A585-34BA272E85B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C18-4493-A585-34BA272E85B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C18-4493-A585-34BA272E85B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C18-4493-A585-34BA272E85B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C18-4493-A585-34BA272E85B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'Исх данные решение'!$A$34:$A$38</c:f>
              <c:strCache>
                <c:ptCount val="5"/>
                <c:pt idx="0">
                  <c:v>1. Материальные затраты</c:v>
                </c:pt>
                <c:pt idx="1">
                  <c:v>2. Фонд оплаты труда работников</c:v>
                </c:pt>
                <c:pt idx="2">
                  <c:v>3. Отчисления в ФСЗН</c:v>
                </c:pt>
                <c:pt idx="3">
                  <c:v>4. Амортизационные отчисления</c:v>
                </c:pt>
                <c:pt idx="4">
                  <c:v>5. Прочие</c:v>
                </c:pt>
              </c:strCache>
            </c:strRef>
          </c:cat>
          <c:val>
            <c:numRef>
              <c:f>'Исх данные решение'!$B$34:$B$38</c:f>
              <c:numCache>
                <c:formatCode>General</c:formatCode>
                <c:ptCount val="5"/>
                <c:pt idx="0">
                  <c:v>52.340005613991046</c:v>
                </c:pt>
                <c:pt idx="1">
                  <c:v>10.338809589812524</c:v>
                </c:pt>
                <c:pt idx="2">
                  <c:v>3.5151952605362586</c:v>
                </c:pt>
                <c:pt idx="3">
                  <c:v>9.3450285668457216</c:v>
                </c:pt>
                <c:pt idx="4">
                  <c:v>24.460960968814454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28-4139-ACA8-027059FFF4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'Исх данные решение'!$F$59</c:f>
              <c:strCache>
                <c:ptCount val="1"/>
                <c:pt idx="0">
                  <c:v>Зитого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'Исх данные решение'!$C$60:$C$68</c:f>
              <c:numCache>
                <c:formatCode>General</c:formatCode>
                <c:ptCount val="9"/>
                <c:pt idx="0">
                  <c:v>10000</c:v>
                </c:pt>
                <c:pt idx="1">
                  <c:v>15000</c:v>
                </c:pt>
                <c:pt idx="2" formatCode="#,##0">
                  <c:v>18408.821171966589</c:v>
                </c:pt>
                <c:pt idx="3" formatCode="#,##0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 formatCode="#,##0">
                  <c:v>40000</c:v>
                </c:pt>
                <c:pt idx="8">
                  <c:v>45000</c:v>
                </c:pt>
              </c:numCache>
            </c:numRef>
          </c:xVal>
          <c:yVal>
            <c:numRef>
              <c:f>'Исх данные решение'!$F$60:$F$68</c:f>
              <c:numCache>
                <c:formatCode>0.0</c:formatCode>
                <c:ptCount val="9"/>
                <c:pt idx="0">
                  <c:v>8843.6555555555551</c:v>
                </c:pt>
                <c:pt idx="1">
                  <c:v>11677.183333333332</c:v>
                </c:pt>
                <c:pt idx="2">
                  <c:v>13608.981229382198</c:v>
                </c:pt>
                <c:pt idx="3">
                  <c:v>14510.71111111111</c:v>
                </c:pt>
                <c:pt idx="4">
                  <c:v>17344.238888888889</c:v>
                </c:pt>
                <c:pt idx="5">
                  <c:v>20177.766666666663</c:v>
                </c:pt>
                <c:pt idx="6">
                  <c:v>23011.294444444444</c:v>
                </c:pt>
                <c:pt idx="7">
                  <c:v>25844.822222222218</c:v>
                </c:pt>
                <c:pt idx="8">
                  <c:v>28678.35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7F3-4AF9-B417-ACF17F633E8C}"/>
            </c:ext>
          </c:extLst>
        </c:ser>
        <c:ser>
          <c:idx val="1"/>
          <c:order val="1"/>
          <c:tx>
            <c:strRef>
              <c:f>'Исх данные решение'!$G$59</c:f>
              <c:strCache>
                <c:ptCount val="1"/>
                <c:pt idx="0">
                  <c:v>Выручка общ, тыс руб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'Исх данные решение'!$C$60:$C$68</c:f>
              <c:numCache>
                <c:formatCode>General</c:formatCode>
                <c:ptCount val="9"/>
                <c:pt idx="0">
                  <c:v>10000</c:v>
                </c:pt>
                <c:pt idx="1">
                  <c:v>15000</c:v>
                </c:pt>
                <c:pt idx="2" formatCode="#,##0">
                  <c:v>18408.821171966589</c:v>
                </c:pt>
                <c:pt idx="3" formatCode="#,##0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 formatCode="#,##0">
                  <c:v>40000</c:v>
                </c:pt>
                <c:pt idx="8">
                  <c:v>45000</c:v>
                </c:pt>
              </c:numCache>
            </c:numRef>
          </c:xVal>
          <c:yVal>
            <c:numRef>
              <c:f>'Исх данные решение'!$G$60:$G$68</c:f>
              <c:numCache>
                <c:formatCode>General</c:formatCode>
                <c:ptCount val="9"/>
                <c:pt idx="0">
                  <c:v>7392.641333333333</c:v>
                </c:pt>
                <c:pt idx="1">
                  <c:v>11088.962</c:v>
                </c:pt>
                <c:pt idx="2">
                  <c:v>13608.981229382198</c:v>
                </c:pt>
                <c:pt idx="3">
                  <c:v>14785.282666666666</c:v>
                </c:pt>
                <c:pt idx="4">
                  <c:v>18481.603333333333</c:v>
                </c:pt>
                <c:pt idx="5">
                  <c:v>22177.923999999999</c:v>
                </c:pt>
                <c:pt idx="6">
                  <c:v>25874.244666666669</c:v>
                </c:pt>
                <c:pt idx="7">
                  <c:v>29570.565333333332</c:v>
                </c:pt>
                <c:pt idx="8">
                  <c:v>33266.885999999999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7F3-4AF9-B417-ACF17F633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3579791"/>
        <c:axId val="893580751"/>
      </c:scatterChart>
      <c:valAx>
        <c:axId val="893579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93580751"/>
        <c:crosses val="autoZero"/>
        <c:crossBetween val="midCat"/>
      </c:valAx>
      <c:valAx>
        <c:axId val="89358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935797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emf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8930</xdr:colOff>
      <xdr:row>32</xdr:row>
      <xdr:rowOff>21431</xdr:rowOff>
    </xdr:from>
    <xdr:to>
      <xdr:col>11</xdr:col>
      <xdr:colOff>169664</xdr:colOff>
      <xdr:row>48</xdr:row>
      <xdr:rowOff>67865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69</xdr:row>
      <xdr:rowOff>19050</xdr:rowOff>
    </xdr:from>
    <xdr:to>
      <xdr:col>10</xdr:col>
      <xdr:colOff>114300</xdr:colOff>
      <xdr:row>89</xdr:row>
      <xdr:rowOff>114300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9F89065-F7D4-743C-D2A8-A16B5B36E8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2914650</xdr:colOff>
          <xdr:row>11</xdr:row>
          <xdr:rowOff>28575</xdr:rowOff>
        </xdr:from>
        <xdr:to>
          <xdr:col>0</xdr:col>
          <xdr:colOff>3495675</xdr:colOff>
          <xdr:row>12</xdr:row>
          <xdr:rowOff>9525</xdr:rowOff>
        </xdr:to>
        <xdr:sp macro="" textlink="">
          <xdr:nvSpPr>
            <xdr:cNvPr id="24578" name="Object 2" hidden="1">
              <a:extLst>
                <a:ext uri="{63B3BB69-23CF-44E3-9099-C40C66FF867C}">
                  <a14:compatExt spid="_x0000_s24578"/>
                </a:ext>
                <a:ext uri="{FF2B5EF4-FFF2-40B4-BE49-F238E27FC236}">
                  <a16:creationId xmlns:a16="http://schemas.microsoft.com/office/drawing/2014/main" id="{00000000-0008-0000-0100-000002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2790825</xdr:colOff>
          <xdr:row>13</xdr:row>
          <xdr:rowOff>190500</xdr:rowOff>
        </xdr:from>
        <xdr:to>
          <xdr:col>0</xdr:col>
          <xdr:colOff>3752850</xdr:colOff>
          <xdr:row>15</xdr:row>
          <xdr:rowOff>0</xdr:rowOff>
        </xdr:to>
        <xdr:sp macro="" textlink="">
          <xdr:nvSpPr>
            <xdr:cNvPr id="24577" name="Object 1" hidden="1">
              <a:extLst>
                <a:ext uri="{63B3BB69-23CF-44E3-9099-C40C66FF867C}">
                  <a14:compatExt spid="_x0000_s24577"/>
                </a:ext>
                <a:ext uri="{FF2B5EF4-FFF2-40B4-BE49-F238E27FC236}">
                  <a16:creationId xmlns:a16="http://schemas.microsoft.com/office/drawing/2014/main" id="{00000000-0008-0000-0100-000001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2686050</xdr:colOff>
          <xdr:row>19</xdr:row>
          <xdr:rowOff>38100</xdr:rowOff>
        </xdr:from>
        <xdr:to>
          <xdr:col>0</xdr:col>
          <xdr:colOff>3762375</xdr:colOff>
          <xdr:row>21</xdr:row>
          <xdr:rowOff>0</xdr:rowOff>
        </xdr:to>
        <xdr:sp macro="" textlink="">
          <xdr:nvSpPr>
            <xdr:cNvPr id="24579" name="Object 3" hidden="1">
              <a:extLst>
                <a:ext uri="{63B3BB69-23CF-44E3-9099-C40C66FF867C}">
                  <a14:compatExt spid="_x0000_s24579"/>
                </a:ext>
                <a:ext uri="{FF2B5EF4-FFF2-40B4-BE49-F238E27FC236}">
                  <a16:creationId xmlns:a16="http://schemas.microsoft.com/office/drawing/2014/main" id="{00000000-0008-0000-0100-000003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6439</xdr:colOff>
      <xdr:row>43</xdr:row>
      <xdr:rowOff>32198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568461" cy="71552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590913</xdr:colOff>
      <xdr:row>0</xdr:row>
      <xdr:rowOff>143941</xdr:rowOff>
    </xdr:from>
    <xdr:to>
      <xdr:col>16</xdr:col>
      <xdr:colOff>571565</xdr:colOff>
      <xdr:row>23</xdr:row>
      <xdr:rowOff>8619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06118" y="9409154"/>
          <a:ext cx="4950381" cy="352379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21</xdr:col>
      <xdr:colOff>445530</xdr:colOff>
      <xdr:row>58</xdr:row>
      <xdr:rowOff>95833</xdr:rowOff>
    </xdr:to>
    <xdr:pic>
      <xdr:nvPicPr>
        <xdr:cNvPr id="8" name="Рисунок 13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678" t="14519" r="36909" b="32175"/>
        <a:stretch>
          <a:fillRect/>
        </a:stretch>
      </xdr:blipFill>
      <xdr:spPr bwMode="auto">
        <a:xfrm>
          <a:off x="8636421" y="13242512"/>
          <a:ext cx="7900124" cy="53458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wmf"/><Relationship Id="rId3" Type="http://schemas.openxmlformats.org/officeDocument/2006/relationships/oleObject" Target="../embeddings/oleObject1.bin"/><Relationship Id="rId7" Type="http://schemas.openxmlformats.org/officeDocument/2006/relationships/oleObject" Target="../embeddings/oleObject3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6" Type="http://schemas.openxmlformats.org/officeDocument/2006/relationships/image" Target="../media/image2.wmf"/><Relationship Id="rId5" Type="http://schemas.openxmlformats.org/officeDocument/2006/relationships/oleObject" Target="../embeddings/oleObject2.bin"/><Relationship Id="rId4" Type="http://schemas.openxmlformats.org/officeDocument/2006/relationships/image" Target="../media/image1.wmf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zoomScale="130" zoomScaleNormal="130" workbookViewId="0">
      <selection activeCell="B38" sqref="B38"/>
    </sheetView>
  </sheetViews>
  <sheetFormatPr defaultRowHeight="12.75" x14ac:dyDescent="0.2"/>
  <cols>
    <col min="1" max="1" width="56" customWidth="1"/>
    <col min="2" max="2" width="13.28515625" customWidth="1"/>
    <col min="3" max="3" width="19.5703125" customWidth="1"/>
    <col min="4" max="4" width="13.5703125" customWidth="1"/>
    <col min="5" max="5" width="8.7109375" customWidth="1"/>
    <col min="6" max="6" width="8.140625" customWidth="1"/>
    <col min="7" max="7" width="8.28515625" customWidth="1"/>
    <col min="8" max="9" width="7.5703125" customWidth="1"/>
    <col min="10" max="10" width="8.42578125" customWidth="1"/>
    <col min="11" max="11" width="9.140625" customWidth="1"/>
  </cols>
  <sheetData>
    <row r="1" spans="1:11" s="1" customFormat="1" ht="90.2" customHeight="1" thickBot="1" x14ac:dyDescent="0.35">
      <c r="A1" s="48" t="s">
        <v>57</v>
      </c>
      <c r="B1" s="48"/>
      <c r="C1" s="48"/>
      <c r="D1" s="48"/>
      <c r="E1" s="48"/>
      <c r="F1" s="48"/>
      <c r="G1" s="48"/>
      <c r="H1" s="48"/>
      <c r="I1" s="48"/>
      <c r="J1" s="48"/>
      <c r="K1" s="48"/>
    </row>
    <row r="2" spans="1:11" ht="16.5" thickBot="1" x14ac:dyDescent="0.25">
      <c r="A2" s="43" t="s">
        <v>0</v>
      </c>
      <c r="B2" s="45" t="s">
        <v>1</v>
      </c>
      <c r="C2" s="46"/>
      <c r="D2" s="46"/>
      <c r="E2" s="46"/>
      <c r="F2" s="46"/>
      <c r="G2" s="46"/>
      <c r="H2" s="46"/>
      <c r="I2" s="46"/>
      <c r="J2" s="46"/>
      <c r="K2" s="47"/>
    </row>
    <row r="3" spans="1:11" ht="15.75" x14ac:dyDescent="0.2">
      <c r="A3" s="44"/>
      <c r="B3" s="8">
        <v>5</v>
      </c>
    </row>
    <row r="4" spans="1:11" ht="13.7" customHeight="1" x14ac:dyDescent="0.2">
      <c r="A4" s="9" t="s">
        <v>16</v>
      </c>
      <c r="B4" s="10">
        <v>45000</v>
      </c>
    </row>
    <row r="5" spans="1:11" ht="13.7" customHeight="1" x14ac:dyDescent="0.2">
      <c r="A5" s="12" t="s">
        <v>17</v>
      </c>
      <c r="B5" s="10">
        <v>270</v>
      </c>
    </row>
    <row r="6" spans="1:11" ht="15.6" customHeight="1" x14ac:dyDescent="0.2">
      <c r="A6" s="12" t="s">
        <v>18</v>
      </c>
      <c r="B6" s="10">
        <v>155</v>
      </c>
    </row>
    <row r="7" spans="1:11" ht="13.35" customHeight="1" x14ac:dyDescent="0.2">
      <c r="A7" s="12" t="s">
        <v>2</v>
      </c>
      <c r="B7" s="10">
        <v>0.39</v>
      </c>
    </row>
    <row r="8" spans="1:11" ht="30" customHeight="1" x14ac:dyDescent="0.2">
      <c r="A8" s="12" t="s">
        <v>19</v>
      </c>
      <c r="B8" s="11">
        <v>65</v>
      </c>
    </row>
    <row r="9" spans="1:11" ht="26.45" customHeight="1" x14ac:dyDescent="0.2">
      <c r="A9" s="12" t="s">
        <v>3</v>
      </c>
      <c r="B9" s="11">
        <v>40</v>
      </c>
    </row>
    <row r="10" spans="1:11" ht="16.7" customHeight="1" x14ac:dyDescent="0.2">
      <c r="A10" s="12" t="s">
        <v>38</v>
      </c>
      <c r="B10" s="11">
        <v>7280</v>
      </c>
    </row>
    <row r="11" spans="1:11" ht="13.7" customHeight="1" x14ac:dyDescent="0.2">
      <c r="A11" s="12" t="s">
        <v>39</v>
      </c>
      <c r="B11" s="11">
        <v>19520</v>
      </c>
    </row>
    <row r="12" spans="1:11" ht="13.7" customHeight="1" x14ac:dyDescent="0.2">
      <c r="A12" s="12" t="s">
        <v>25</v>
      </c>
      <c r="B12" s="11">
        <v>10</v>
      </c>
    </row>
    <row r="13" spans="1:11" ht="26.25" customHeight="1" x14ac:dyDescent="0.2">
      <c r="A13" s="12" t="s">
        <v>26</v>
      </c>
      <c r="B13" s="11">
        <v>4500</v>
      </c>
    </row>
    <row r="14" spans="1:11" ht="24.75" customHeight="1" x14ac:dyDescent="0.2">
      <c r="A14" s="12" t="s">
        <v>27</v>
      </c>
      <c r="B14" s="11">
        <v>1900</v>
      </c>
    </row>
    <row r="15" spans="1:11" ht="27" customHeight="1" x14ac:dyDescent="0.2">
      <c r="A15" s="12" t="s">
        <v>28</v>
      </c>
      <c r="B15" s="11">
        <v>140</v>
      </c>
    </row>
    <row r="16" spans="1:11" ht="13.7" customHeight="1" x14ac:dyDescent="0.2">
      <c r="A16" s="12" t="s">
        <v>29</v>
      </c>
      <c r="B16" s="11">
        <v>310</v>
      </c>
    </row>
    <row r="17" spans="1:5" ht="14.65" customHeight="1" x14ac:dyDescent="0.2">
      <c r="A17" s="12" t="s">
        <v>30</v>
      </c>
      <c r="B17" s="11">
        <v>120</v>
      </c>
    </row>
    <row r="18" spans="1:5" ht="13.35" customHeight="1" x14ac:dyDescent="0.2">
      <c r="A18" s="12" t="s">
        <v>31</v>
      </c>
      <c r="B18" s="11">
        <v>140</v>
      </c>
    </row>
    <row r="19" spans="1:5" ht="14.25" customHeight="1" x14ac:dyDescent="0.2">
      <c r="A19" s="12" t="s">
        <v>32</v>
      </c>
      <c r="B19" s="11">
        <v>45</v>
      </c>
    </row>
    <row r="20" spans="1:5" x14ac:dyDescent="0.2">
      <c r="A20" s="12" t="s">
        <v>33</v>
      </c>
      <c r="B20" s="10">
        <v>16</v>
      </c>
    </row>
    <row r="21" spans="1:5" ht="15.75" x14ac:dyDescent="0.2">
      <c r="A21" s="13" t="s">
        <v>9</v>
      </c>
      <c r="B21" s="14"/>
    </row>
    <row r="22" spans="1:5" x14ac:dyDescent="0.2">
      <c r="A22" s="29" t="s">
        <v>72</v>
      </c>
      <c r="B22" s="22">
        <f>B5*B4+B7*B6*B4+B18*1000</f>
        <v>15010250</v>
      </c>
    </row>
    <row r="23" spans="1:5" x14ac:dyDescent="0.2">
      <c r="A23" s="30" t="s">
        <v>73</v>
      </c>
      <c r="B23" s="23">
        <f>B8*B4+B9*1000</f>
        <v>2965000</v>
      </c>
    </row>
    <row r="24" spans="1:5" x14ac:dyDescent="0.2">
      <c r="A24" s="30" t="s">
        <v>34</v>
      </c>
      <c r="B24" s="23">
        <f>B23*0.34</f>
        <v>1008100.0000000001</v>
      </c>
    </row>
    <row r="25" spans="1:5" x14ac:dyDescent="0.2">
      <c r="A25" s="30" t="s">
        <v>74</v>
      </c>
      <c r="B25" s="23">
        <f>(B10+B11)*1000*B12/100</f>
        <v>2680000</v>
      </c>
    </row>
    <row r="26" spans="1:5" x14ac:dyDescent="0.2">
      <c r="A26" s="30" t="s">
        <v>75</v>
      </c>
      <c r="B26" s="23">
        <f>(B13+B14+B15+B16+B17+B19)*1000</f>
        <v>7015000</v>
      </c>
    </row>
    <row r="27" spans="1:5" x14ac:dyDescent="0.2">
      <c r="A27" s="31" t="s">
        <v>4</v>
      </c>
      <c r="B27" s="24">
        <f>SUM(B22:B26)</f>
        <v>28678350</v>
      </c>
    </row>
    <row r="28" spans="1:5" x14ac:dyDescent="0.2">
      <c r="A28" s="31" t="s">
        <v>20</v>
      </c>
      <c r="B28" s="25">
        <f>B27/B4</f>
        <v>637.29666666666662</v>
      </c>
    </row>
    <row r="29" spans="1:5" x14ac:dyDescent="0.2">
      <c r="A29" s="32" t="s">
        <v>21</v>
      </c>
      <c r="B29" s="26">
        <f>B28+E29</f>
        <v>739.26413333333335</v>
      </c>
      <c r="D29" t="s">
        <v>60</v>
      </c>
      <c r="E29">
        <f>B28*B20/100</f>
        <v>101.96746666666667</v>
      </c>
    </row>
    <row r="30" spans="1:5" x14ac:dyDescent="0.2">
      <c r="A30" s="33" t="s">
        <v>76</v>
      </c>
      <c r="B30" s="27">
        <f>B9*1.34+B10*B12/100+B14+B15+B16+B19</f>
        <v>3176.6</v>
      </c>
    </row>
    <row r="31" spans="1:5" ht="15.6" customHeight="1" x14ac:dyDescent="0.2">
      <c r="A31" s="33" t="s">
        <v>77</v>
      </c>
      <c r="B31" s="27">
        <f>(B27-B30*1000)/B4</f>
        <v>566.70555555555552</v>
      </c>
    </row>
    <row r="32" spans="1:5" ht="15.75" x14ac:dyDescent="0.2">
      <c r="A32" s="16" t="s">
        <v>22</v>
      </c>
      <c r="B32" s="17">
        <f>B30*1000/(B29-B31)</f>
        <v>18408.821171966589</v>
      </c>
    </row>
    <row r="33" spans="1:2" ht="15.75" x14ac:dyDescent="0.2">
      <c r="A33" s="18" t="s">
        <v>23</v>
      </c>
      <c r="B33" s="19"/>
    </row>
    <row r="34" spans="1:2" x14ac:dyDescent="0.2">
      <c r="A34" s="30" t="s">
        <v>11</v>
      </c>
      <c r="B34" s="20">
        <f>B22/B27*100</f>
        <v>52.340005613991046</v>
      </c>
    </row>
    <row r="35" spans="1:2" x14ac:dyDescent="0.2">
      <c r="A35" s="30" t="s">
        <v>12</v>
      </c>
      <c r="B35" s="21">
        <f>B23/B27*100</f>
        <v>10.338809589812524</v>
      </c>
    </row>
    <row r="36" spans="1:2" x14ac:dyDescent="0.2">
      <c r="A36" s="30" t="s">
        <v>10</v>
      </c>
      <c r="B36" s="21">
        <f>B24/B27*100</f>
        <v>3.5151952605362586</v>
      </c>
    </row>
    <row r="37" spans="1:2" x14ac:dyDescent="0.2">
      <c r="A37" s="30" t="s">
        <v>13</v>
      </c>
      <c r="B37" s="21">
        <f>B25/B27*100</f>
        <v>9.3450285668457216</v>
      </c>
    </row>
    <row r="38" spans="1:2" x14ac:dyDescent="0.2">
      <c r="A38" s="30" t="s">
        <v>14</v>
      </c>
      <c r="B38" s="21">
        <f>B26/B27*100</f>
        <v>24.460960968814454</v>
      </c>
    </row>
    <row r="39" spans="1:2" x14ac:dyDescent="0.2">
      <c r="A39" s="15" t="s">
        <v>15</v>
      </c>
      <c r="B39" s="28">
        <f>SUM(B34:B38)</f>
        <v>100</v>
      </c>
    </row>
    <row r="40" spans="1:2" ht="15.75" x14ac:dyDescent="0.2">
      <c r="A40" s="42" t="s">
        <v>58</v>
      </c>
      <c r="B40" s="41"/>
    </row>
    <row r="41" spans="1:2" ht="15.75" x14ac:dyDescent="0.2">
      <c r="A41" s="42" t="s">
        <v>59</v>
      </c>
      <c r="B41" s="41"/>
    </row>
    <row r="52" spans="3:8" x14ac:dyDescent="0.2">
      <c r="C52" s="51" t="s">
        <v>61</v>
      </c>
      <c r="D52" s="52">
        <f>B32</f>
        <v>18408.821171966589</v>
      </c>
    </row>
    <row r="53" spans="3:8" x14ac:dyDescent="0.2">
      <c r="C53" s="51" t="s">
        <v>62</v>
      </c>
      <c r="D53" s="53">
        <f>B30</f>
        <v>3176.6</v>
      </c>
    </row>
    <row r="54" spans="3:8" x14ac:dyDescent="0.2">
      <c r="C54" s="51" t="s">
        <v>71</v>
      </c>
      <c r="D54" s="53">
        <f>B31</f>
        <v>566.70555555555552</v>
      </c>
    </row>
    <row r="55" spans="3:8" x14ac:dyDescent="0.2">
      <c r="C55" s="51" t="s">
        <v>63</v>
      </c>
      <c r="D55" s="53">
        <f>B29</f>
        <v>739.26413333333335</v>
      </c>
    </row>
    <row r="56" spans="3:8" x14ac:dyDescent="0.2">
      <c r="C56" s="51" t="s">
        <v>64</v>
      </c>
      <c r="D56" s="54">
        <f>B4</f>
        <v>45000</v>
      </c>
    </row>
    <row r="59" spans="3:8" ht="51" x14ac:dyDescent="0.2">
      <c r="C59" s="56" t="s">
        <v>65</v>
      </c>
      <c r="D59" s="56" t="s">
        <v>66</v>
      </c>
      <c r="E59" s="56" t="s">
        <v>67</v>
      </c>
      <c r="F59" s="56" t="s">
        <v>68</v>
      </c>
      <c r="G59" s="56" t="s">
        <v>69</v>
      </c>
      <c r="H59" s="56" t="s">
        <v>70</v>
      </c>
    </row>
    <row r="60" spans="3:8" x14ac:dyDescent="0.2">
      <c r="C60" s="54">
        <v>10000</v>
      </c>
      <c r="D60" s="53">
        <f>$D$53</f>
        <v>3176.6</v>
      </c>
      <c r="E60" s="53">
        <f>$D$54*$C60/1000</f>
        <v>5667.0555555555547</v>
      </c>
      <c r="F60" s="53">
        <f>E60+D60</f>
        <v>8843.6555555555551</v>
      </c>
      <c r="G60" s="54">
        <f>$C60*$D$55/1000</f>
        <v>7392.641333333333</v>
      </c>
      <c r="H60" s="53">
        <f>$G60-$F60</f>
        <v>-1451.0142222222221</v>
      </c>
    </row>
    <row r="61" spans="3:8" x14ac:dyDescent="0.2">
      <c r="C61" s="54">
        <v>15000</v>
      </c>
      <c r="D61" s="53">
        <f t="shared" ref="D61:D68" si="0">$D$53</f>
        <v>3176.6</v>
      </c>
      <c r="E61" s="53">
        <f>$D$54*$C61/1000</f>
        <v>8500.5833333333321</v>
      </c>
      <c r="F61" s="53">
        <f t="shared" ref="F61:F68" si="1">E61+D61</f>
        <v>11677.183333333332</v>
      </c>
      <c r="G61" s="54">
        <f t="shared" ref="G61:G68" si="2">$C61*$D$55/1000</f>
        <v>11088.962</v>
      </c>
      <c r="H61" s="53">
        <f t="shared" ref="H61:H68" si="3">$G61-$F61</f>
        <v>-588.22133333333295</v>
      </c>
    </row>
    <row r="62" spans="3:8" x14ac:dyDescent="0.2">
      <c r="C62" s="57">
        <f>D52</f>
        <v>18408.821171966589</v>
      </c>
      <c r="D62" s="58">
        <f t="shared" si="0"/>
        <v>3176.6</v>
      </c>
      <c r="E62" s="58">
        <f t="shared" ref="E61:E68" si="4">$D$54*$C62/1000</f>
        <v>10432.381229382197</v>
      </c>
      <c r="F62" s="58">
        <f>E62+D62</f>
        <v>13608.981229382198</v>
      </c>
      <c r="G62" s="51">
        <f t="shared" si="2"/>
        <v>13608.981229382198</v>
      </c>
      <c r="H62" s="58">
        <f t="shared" si="3"/>
        <v>0</v>
      </c>
    </row>
    <row r="63" spans="3:8" x14ac:dyDescent="0.2">
      <c r="C63" s="59">
        <v>20000</v>
      </c>
      <c r="D63" s="53">
        <f t="shared" si="0"/>
        <v>3176.6</v>
      </c>
      <c r="E63" s="53">
        <f t="shared" si="4"/>
        <v>11334.111111111109</v>
      </c>
      <c r="F63" s="53">
        <f>E63+D63</f>
        <v>14510.71111111111</v>
      </c>
      <c r="G63" s="54">
        <f t="shared" si="2"/>
        <v>14785.282666666666</v>
      </c>
      <c r="H63" s="53">
        <f t="shared" si="3"/>
        <v>274.57155555555619</v>
      </c>
    </row>
    <row r="64" spans="3:8" x14ac:dyDescent="0.2">
      <c r="C64" s="54">
        <v>25000</v>
      </c>
      <c r="D64" s="53">
        <f t="shared" si="0"/>
        <v>3176.6</v>
      </c>
      <c r="E64" s="53">
        <f t="shared" si="4"/>
        <v>14167.638888888889</v>
      </c>
      <c r="F64" s="53">
        <f t="shared" si="1"/>
        <v>17344.238888888889</v>
      </c>
      <c r="G64" s="54">
        <f t="shared" si="2"/>
        <v>18481.603333333333</v>
      </c>
      <c r="H64" s="53">
        <f t="shared" si="3"/>
        <v>1137.3644444444435</v>
      </c>
    </row>
    <row r="65" spans="3:8" x14ac:dyDescent="0.2">
      <c r="C65" s="54">
        <v>30000</v>
      </c>
      <c r="D65" s="53">
        <f t="shared" si="0"/>
        <v>3176.6</v>
      </c>
      <c r="E65" s="53">
        <f t="shared" si="4"/>
        <v>17001.166666666664</v>
      </c>
      <c r="F65" s="53">
        <f t="shared" si="1"/>
        <v>20177.766666666663</v>
      </c>
      <c r="G65" s="54">
        <f t="shared" si="2"/>
        <v>22177.923999999999</v>
      </c>
      <c r="H65" s="53">
        <f t="shared" si="3"/>
        <v>2000.1573333333363</v>
      </c>
    </row>
    <row r="66" spans="3:8" x14ac:dyDescent="0.2">
      <c r="C66" s="54">
        <v>35000</v>
      </c>
      <c r="D66" s="53">
        <f t="shared" si="0"/>
        <v>3176.6</v>
      </c>
      <c r="E66" s="53">
        <f t="shared" si="4"/>
        <v>19834.694444444445</v>
      </c>
      <c r="F66" s="53">
        <f t="shared" si="1"/>
        <v>23011.294444444444</v>
      </c>
      <c r="G66" s="54">
        <f t="shared" si="2"/>
        <v>25874.244666666669</v>
      </c>
      <c r="H66" s="53">
        <f t="shared" si="3"/>
        <v>2862.9502222222254</v>
      </c>
    </row>
    <row r="67" spans="3:8" x14ac:dyDescent="0.2">
      <c r="C67" s="52">
        <v>40000</v>
      </c>
      <c r="D67" s="53">
        <f t="shared" si="0"/>
        <v>3176.6</v>
      </c>
      <c r="E67" s="53">
        <f t="shared" si="4"/>
        <v>22668.222222222219</v>
      </c>
      <c r="F67" s="53">
        <f t="shared" si="1"/>
        <v>25844.822222222218</v>
      </c>
      <c r="G67" s="54">
        <f t="shared" si="2"/>
        <v>29570.565333333332</v>
      </c>
      <c r="H67" s="53">
        <f t="shared" si="3"/>
        <v>3725.7431111111146</v>
      </c>
    </row>
    <row r="68" spans="3:8" x14ac:dyDescent="0.2">
      <c r="C68" s="51">
        <v>45000</v>
      </c>
      <c r="D68" s="58">
        <f t="shared" si="0"/>
        <v>3176.6</v>
      </c>
      <c r="E68" s="58">
        <f>$D$54*$C68/1000</f>
        <v>25501.75</v>
      </c>
      <c r="F68" s="58">
        <f>E68+D68</f>
        <v>28678.35</v>
      </c>
      <c r="G68" s="51">
        <f t="shared" si="2"/>
        <v>33266.885999999999</v>
      </c>
      <c r="H68" s="58">
        <f t="shared" si="3"/>
        <v>4588.5360000000001</v>
      </c>
    </row>
    <row r="69" spans="3:8" x14ac:dyDescent="0.2">
      <c r="D69" s="50"/>
      <c r="E69" s="50"/>
      <c r="F69" s="50"/>
      <c r="H69" s="50"/>
    </row>
    <row r="70" spans="3:8" x14ac:dyDescent="0.2">
      <c r="D70" s="50"/>
      <c r="E70" s="50"/>
      <c r="F70" s="50"/>
      <c r="H70" s="50"/>
    </row>
    <row r="71" spans="3:8" x14ac:dyDescent="0.2">
      <c r="C71" s="49"/>
      <c r="D71" s="55"/>
      <c r="E71" s="55"/>
      <c r="F71" s="55"/>
      <c r="G71" s="49"/>
      <c r="H71" s="55"/>
    </row>
  </sheetData>
  <mergeCells count="3">
    <mergeCell ref="A2:A3"/>
    <mergeCell ref="B2:K2"/>
    <mergeCell ref="A1:K1"/>
  </mergeCells>
  <phoneticPr fontId="1" type="noConversion"/>
  <pageMargins left="0.75" right="0.75" top="1" bottom="1" header="0.5" footer="0.5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topLeftCell="A11" workbookViewId="0"/>
  </sheetViews>
  <sheetFormatPr defaultRowHeight="15.75" x14ac:dyDescent="0.25"/>
  <cols>
    <col min="1" max="1" width="102.28515625" style="7" customWidth="1"/>
  </cols>
  <sheetData>
    <row r="1" spans="1:8" ht="18.75" x14ac:dyDescent="0.2">
      <c r="A1" s="2" t="s">
        <v>5</v>
      </c>
      <c r="B1" s="3"/>
      <c r="C1" s="3"/>
      <c r="D1" s="3"/>
      <c r="E1" s="3"/>
      <c r="F1" s="3"/>
      <c r="G1" s="3"/>
      <c r="H1" s="3"/>
    </row>
    <row r="2" spans="1:8" ht="107.25" customHeight="1" x14ac:dyDescent="0.2">
      <c r="A2" s="35" t="s">
        <v>36</v>
      </c>
    </row>
    <row r="3" spans="1:8" ht="45" customHeight="1" x14ac:dyDescent="0.25">
      <c r="A3" s="34" t="s">
        <v>24</v>
      </c>
    </row>
    <row r="4" spans="1:8" ht="36.75" customHeight="1" x14ac:dyDescent="0.25">
      <c r="A4" s="34" t="s">
        <v>35</v>
      </c>
    </row>
    <row r="5" spans="1:8" x14ac:dyDescent="0.25">
      <c r="A5" s="34" t="s">
        <v>37</v>
      </c>
    </row>
    <row r="6" spans="1:8" ht="31.5" x14ac:dyDescent="0.25">
      <c r="A6" s="34" t="s">
        <v>40</v>
      </c>
    </row>
    <row r="7" spans="1:8" ht="78.75" x14ac:dyDescent="0.25">
      <c r="A7" s="34" t="s">
        <v>41</v>
      </c>
    </row>
    <row r="8" spans="1:8" ht="31.5" x14ac:dyDescent="0.2">
      <c r="A8" s="35" t="s">
        <v>42</v>
      </c>
    </row>
    <row r="9" spans="1:8" x14ac:dyDescent="0.2">
      <c r="A9" s="4"/>
    </row>
    <row r="10" spans="1:8" x14ac:dyDescent="0.2">
      <c r="A10" s="35" t="s">
        <v>43</v>
      </c>
    </row>
    <row r="11" spans="1:8" ht="18.75" x14ac:dyDescent="0.2">
      <c r="A11" s="35" t="s">
        <v>8</v>
      </c>
    </row>
    <row r="12" spans="1:8" ht="36.6" customHeight="1" x14ac:dyDescent="0.2">
      <c r="A12" s="5"/>
    </row>
    <row r="13" spans="1:8" x14ac:dyDescent="0.2">
      <c r="A13" s="36" t="s">
        <v>44</v>
      </c>
    </row>
    <row r="14" spans="1:8" x14ac:dyDescent="0.2">
      <c r="A14" s="36" t="s">
        <v>6</v>
      </c>
    </row>
    <row r="15" spans="1:8" ht="21.6" customHeight="1" x14ac:dyDescent="0.2">
      <c r="A15" s="5"/>
    </row>
    <row r="16" spans="1:8" x14ac:dyDescent="0.2">
      <c r="A16" s="35" t="s">
        <v>45</v>
      </c>
    </row>
    <row r="17" spans="1:1" ht="78.2" customHeight="1" x14ac:dyDescent="0.2">
      <c r="A17" s="4" t="s">
        <v>50</v>
      </c>
    </row>
    <row r="18" spans="1:1" ht="58.9" customHeight="1" x14ac:dyDescent="0.2">
      <c r="A18" s="4" t="s">
        <v>46</v>
      </c>
    </row>
    <row r="19" spans="1:1" ht="18.75" x14ac:dyDescent="0.2">
      <c r="A19" s="35" t="s">
        <v>52</v>
      </c>
    </row>
    <row r="20" spans="1:1" x14ac:dyDescent="0.2">
      <c r="A20" s="6" t="s">
        <v>7</v>
      </c>
    </row>
    <row r="21" spans="1:1" ht="24.2" customHeight="1" x14ac:dyDescent="0.2">
      <c r="A21" s="6" t="s">
        <v>47</v>
      </c>
    </row>
    <row r="22" spans="1:1" ht="18.75" x14ac:dyDescent="0.2">
      <c r="A22" s="4" t="s">
        <v>48</v>
      </c>
    </row>
    <row r="23" spans="1:1" ht="18.75" x14ac:dyDescent="0.2">
      <c r="A23" s="4" t="s">
        <v>49</v>
      </c>
    </row>
    <row r="24" spans="1:1" ht="47.25" x14ac:dyDescent="0.25">
      <c r="A24" s="37" t="s">
        <v>51</v>
      </c>
    </row>
    <row r="25" spans="1:1" x14ac:dyDescent="0.25">
      <c r="A25" s="38" t="s">
        <v>54</v>
      </c>
    </row>
    <row r="27" spans="1:1" x14ac:dyDescent="0.25">
      <c r="A27" s="38" t="s">
        <v>53</v>
      </c>
    </row>
    <row r="28" spans="1:1" ht="63" x14ac:dyDescent="0.2">
      <c r="A28" s="39" t="s">
        <v>55</v>
      </c>
    </row>
    <row r="29" spans="1:1" x14ac:dyDescent="0.25">
      <c r="A29" s="40" t="s">
        <v>56</v>
      </c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3" shapeId="24578" r:id="rId3">
          <objectPr defaultSize="0" autoPict="0" r:id="rId4">
            <anchor moveWithCells="1" sizeWithCells="1">
              <from>
                <xdr:col>0</xdr:col>
                <xdr:colOff>2914650</xdr:colOff>
                <xdr:row>11</xdr:row>
                <xdr:rowOff>28575</xdr:rowOff>
              </from>
              <to>
                <xdr:col>0</xdr:col>
                <xdr:colOff>3495675</xdr:colOff>
                <xdr:row>12</xdr:row>
                <xdr:rowOff>9525</xdr:rowOff>
              </to>
            </anchor>
          </objectPr>
        </oleObject>
      </mc:Choice>
      <mc:Fallback>
        <oleObject progId="Equation.3" shapeId="24578" r:id="rId3"/>
      </mc:Fallback>
    </mc:AlternateContent>
    <mc:AlternateContent xmlns:mc="http://schemas.openxmlformats.org/markup-compatibility/2006">
      <mc:Choice Requires="x14">
        <oleObject progId="Equation.3" shapeId="24577" r:id="rId5">
          <objectPr defaultSize="0" autoPict="0" r:id="rId6">
            <anchor moveWithCells="1" sizeWithCells="1">
              <from>
                <xdr:col>0</xdr:col>
                <xdr:colOff>2790825</xdr:colOff>
                <xdr:row>13</xdr:row>
                <xdr:rowOff>190500</xdr:rowOff>
              </from>
              <to>
                <xdr:col>0</xdr:col>
                <xdr:colOff>3752850</xdr:colOff>
                <xdr:row>15</xdr:row>
                <xdr:rowOff>0</xdr:rowOff>
              </to>
            </anchor>
          </objectPr>
        </oleObject>
      </mc:Choice>
      <mc:Fallback>
        <oleObject progId="Equation.3" shapeId="24577" r:id="rId5"/>
      </mc:Fallback>
    </mc:AlternateContent>
    <mc:AlternateContent xmlns:mc="http://schemas.openxmlformats.org/markup-compatibility/2006">
      <mc:Choice Requires="x14">
        <oleObject progId="Equation.3" shapeId="24579" r:id="rId7">
          <objectPr defaultSize="0" autoPict="0" r:id="rId8">
            <anchor moveWithCells="1" sizeWithCells="1">
              <from>
                <xdr:col>0</xdr:col>
                <xdr:colOff>2686050</xdr:colOff>
                <xdr:row>19</xdr:row>
                <xdr:rowOff>38100</xdr:rowOff>
              </from>
              <to>
                <xdr:col>0</xdr:col>
                <xdr:colOff>3762375</xdr:colOff>
                <xdr:row>21</xdr:row>
                <xdr:rowOff>0</xdr:rowOff>
              </to>
            </anchor>
          </objectPr>
        </oleObject>
      </mc:Choice>
      <mc:Fallback>
        <oleObject progId="Equation.3" shapeId="24579" r:id="rId7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16" zoomScale="115" zoomScaleNormal="115" workbookViewId="0"/>
  </sheetViews>
  <sheetFormatPr defaultRowHeight="12.75" x14ac:dyDescent="0.2"/>
  <cols>
    <col min="1" max="1" width="14.5703125" customWidth="1"/>
    <col min="2" max="2" width="11.140625" customWidth="1"/>
    <col min="3" max="3" width="12" customWidth="1"/>
    <col min="4" max="4" width="9" customWidth="1"/>
    <col min="5" max="5" width="13.140625" customWidth="1"/>
    <col min="6" max="6" width="15.7109375" customWidth="1"/>
    <col min="7" max="8" width="18.85546875" customWidth="1"/>
  </cols>
  <sheetData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Исх данные решение</vt:lpstr>
      <vt:lpstr>Порядок работы</vt:lpstr>
      <vt:lpstr>График (пример)</vt:lpstr>
    </vt:vector>
  </TitlesOfParts>
  <Company>BSTU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</dc:creator>
  <cp:lastModifiedBy>Владислав Васильев</cp:lastModifiedBy>
  <cp:lastPrinted>2023-09-21T10:26:08Z</cp:lastPrinted>
  <dcterms:created xsi:type="dcterms:W3CDTF">2006-11-30T08:02:26Z</dcterms:created>
  <dcterms:modified xsi:type="dcterms:W3CDTF">2026-04-24T10:39:20Z</dcterms:modified>
</cp:coreProperties>
</file>